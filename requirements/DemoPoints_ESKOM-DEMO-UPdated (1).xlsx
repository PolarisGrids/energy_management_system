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https://polarisgrid-my.sharepoint.com/personal/rahul_sharma_polarisgrids_com/Documents/"/>
    </mc:Choice>
  </mc:AlternateContent>
  <xr:revisionPtr revIDLastSave="0" documentId="8_{5588C652-8C63-4928-B8ED-4D4E58CDA0B3}" xr6:coauthVersionLast="47" xr6:coauthVersionMax="47" xr10:uidLastSave="{00000000-0000-0000-0000-000000000000}"/>
  <bookViews>
    <workbookView xWindow="-110" yWindow="-110" windowWidth="19420" windowHeight="11500" firstSheet="2" activeTab="2" xr2:uid="{127B54E9-5FC7-4A37-B294-A3B58830EF5A}"/>
  </bookViews>
  <sheets>
    <sheet name="Demo MDMS" sheetId="1" r:id="rId1"/>
    <sheet name="To Dos for MDMs" sheetId="4" r:id="rId2"/>
    <sheet name="Demo HES" sheetId="2" r:id="rId3"/>
    <sheet name="Demo - HES Implmentation detail" sheetId="5" r:id="rId4"/>
    <sheet name="Demo SMOC" sheetId="3" r:id="rId5"/>
  </sheets>
  <externalReferences>
    <externalReference r:id="rId6"/>
  </externalReferences>
  <definedNames>
    <definedName name="_xlnm._FilterDatabase" localSheetId="2" hidden="1">'Demo HES'!$A$11:$N$38</definedName>
    <definedName name="_xlnm._FilterDatabase" localSheetId="0" hidden="1">'Demo MDMS'!$A$11:$Q$57</definedName>
    <definedName name="Priority">[1]Config!$E$3:$E$9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9" i="3" l="1"/>
  <c r="F39" i="3" s="1"/>
  <c r="I39" i="3" s="1"/>
  <c r="E38" i="3"/>
  <c r="E37" i="3"/>
  <c r="E36" i="3"/>
  <c r="E35" i="3"/>
  <c r="E34" i="3"/>
  <c r="E33" i="3"/>
  <c r="E32" i="3"/>
  <c r="E31" i="3"/>
  <c r="E30" i="3"/>
  <c r="E29" i="3"/>
  <c r="E28" i="3"/>
  <c r="F28" i="3" s="1"/>
  <c r="I28" i="3" s="1"/>
  <c r="E27" i="3"/>
  <c r="E26" i="3"/>
  <c r="E25" i="3"/>
  <c r="F25" i="3" s="1"/>
  <c r="I25" i="3" s="1"/>
  <c r="E24" i="3"/>
  <c r="E23" i="3"/>
  <c r="E22" i="3"/>
  <c r="E21" i="3"/>
  <c r="E20" i="3"/>
  <c r="E19" i="3"/>
  <c r="E18" i="3"/>
  <c r="E17" i="3"/>
  <c r="E16" i="3"/>
  <c r="E15" i="3"/>
  <c r="E14" i="3"/>
  <c r="E13" i="3"/>
  <c r="E41" i="3" s="1"/>
  <c r="C6" i="3"/>
  <c r="C5" i="3"/>
  <c r="C4" i="3"/>
  <c r="C3" i="3"/>
  <c r="C2" i="3"/>
  <c r="E38" i="2"/>
  <c r="E37" i="2"/>
  <c r="E36" i="2"/>
  <c r="E35" i="2"/>
  <c r="E34" i="2"/>
  <c r="E33" i="2"/>
  <c r="E32" i="2"/>
  <c r="E31" i="2"/>
  <c r="E30" i="2"/>
  <c r="E29" i="2"/>
  <c r="E28" i="2"/>
  <c r="E27" i="2"/>
  <c r="E26" i="2"/>
  <c r="E25" i="2"/>
  <c r="E24" i="2"/>
  <c r="E23" i="2"/>
  <c r="E22" i="2"/>
  <c r="E21" i="2"/>
  <c r="E20" i="2"/>
  <c r="E19" i="2"/>
  <c r="E18" i="2"/>
  <c r="E17" i="2"/>
  <c r="E16" i="2"/>
  <c r="E15" i="2"/>
  <c r="E14" i="2"/>
  <c r="E13" i="2"/>
  <c r="C6" i="2"/>
  <c r="C5" i="2"/>
  <c r="C4" i="2"/>
  <c r="C3" i="2"/>
  <c r="C2" i="2"/>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C6" i="1"/>
  <c r="C5" i="1"/>
  <c r="C4" i="1"/>
  <c r="C3" i="1"/>
  <c r="C2" i="1"/>
  <c r="E59" i="1" l="1"/>
  <c r="F38" i="1" s="1"/>
  <c r="I38" i="1" s="1"/>
  <c r="E40" i="2"/>
  <c r="F26" i="2" s="1"/>
  <c r="I26" i="2" s="1"/>
  <c r="F27" i="3"/>
  <c r="I27" i="3" s="1"/>
  <c r="F15" i="3"/>
  <c r="I15" i="3" s="1"/>
  <c r="F16" i="3"/>
  <c r="I16" i="3" s="1"/>
  <c r="F17" i="3"/>
  <c r="I17" i="3" s="1"/>
  <c r="F18" i="3"/>
  <c r="I18" i="3" s="1"/>
  <c r="F20" i="3"/>
  <c r="I20" i="3" s="1"/>
  <c r="F37" i="3"/>
  <c r="I37" i="3" s="1"/>
  <c r="F26" i="3"/>
  <c r="I26" i="3" s="1"/>
  <c r="F36" i="3"/>
  <c r="I36" i="3" s="1"/>
  <c r="F22" i="3"/>
  <c r="I22" i="3" s="1"/>
  <c r="F14" i="3"/>
  <c r="I14" i="3" s="1"/>
  <c r="F29" i="3"/>
  <c r="I29" i="3" s="1"/>
  <c r="F30" i="3"/>
  <c r="I30" i="3" s="1"/>
  <c r="F31" i="3"/>
  <c r="I31" i="3" s="1"/>
  <c r="F32" i="3"/>
  <c r="I32" i="3" s="1"/>
  <c r="F19" i="3"/>
  <c r="I19" i="3" s="1"/>
  <c r="F33" i="3"/>
  <c r="I33" i="3" s="1"/>
  <c r="F34" i="3"/>
  <c r="I34" i="3" s="1"/>
  <c r="F21" i="3"/>
  <c r="I21" i="3" s="1"/>
  <c r="F35" i="3"/>
  <c r="I35" i="3" s="1"/>
  <c r="F23" i="3"/>
  <c r="I23" i="3" s="1"/>
  <c r="F24" i="3"/>
  <c r="I24" i="3" s="1"/>
  <c r="F38" i="3"/>
  <c r="I38" i="3" s="1"/>
  <c r="F13" i="3"/>
  <c r="F22" i="2" l="1"/>
  <c r="I22" i="2" s="1"/>
  <c r="F15" i="2"/>
  <c r="I15" i="2" s="1"/>
  <c r="F33" i="2"/>
  <c r="I33" i="2" s="1"/>
  <c r="F27" i="2"/>
  <c r="I27" i="2" s="1"/>
  <c r="F19" i="2"/>
  <c r="I19" i="2" s="1"/>
  <c r="F35" i="2"/>
  <c r="I35" i="2" s="1"/>
  <c r="F31" i="2"/>
  <c r="I31" i="2" s="1"/>
  <c r="F20" i="2"/>
  <c r="I20" i="2" s="1"/>
  <c r="F13" i="2"/>
  <c r="I13" i="2" s="1"/>
  <c r="F17" i="2"/>
  <c r="I17" i="2" s="1"/>
  <c r="F21" i="2"/>
  <c r="I21" i="2" s="1"/>
  <c r="F37" i="2"/>
  <c r="I37" i="2" s="1"/>
  <c r="F30" i="2"/>
  <c r="I30" i="2" s="1"/>
  <c r="F34" i="2"/>
  <c r="I34" i="2" s="1"/>
  <c r="F23" i="2"/>
  <c r="I23" i="2" s="1"/>
  <c r="F16" i="2"/>
  <c r="I16" i="2" s="1"/>
  <c r="F36" i="2"/>
  <c r="I36" i="2" s="1"/>
  <c r="F29" i="2"/>
  <c r="I29" i="2" s="1"/>
  <c r="F22" i="1"/>
  <c r="I22" i="1" s="1"/>
  <c r="F14" i="1"/>
  <c r="I14" i="1" s="1"/>
  <c r="F41" i="1"/>
  <c r="I41" i="1" s="1"/>
  <c r="F33" i="1"/>
  <c r="I33" i="1" s="1"/>
  <c r="F13" i="1"/>
  <c r="I13" i="1" s="1"/>
  <c r="F44" i="1"/>
  <c r="I44" i="1" s="1"/>
  <c r="F36" i="1"/>
  <c r="I36" i="1" s="1"/>
  <c r="F27" i="1"/>
  <c r="I27" i="1" s="1"/>
  <c r="F30" i="1"/>
  <c r="I30" i="1" s="1"/>
  <c r="F25" i="1"/>
  <c r="I25" i="1" s="1"/>
  <c r="F52" i="1"/>
  <c r="I52" i="1" s="1"/>
  <c r="F16" i="1"/>
  <c r="I16" i="1" s="1"/>
  <c r="F54" i="1"/>
  <c r="I54" i="1" s="1"/>
  <c r="F55" i="1"/>
  <c r="I55" i="1" s="1"/>
  <c r="F47" i="1"/>
  <c r="I47" i="1" s="1"/>
  <c r="F19" i="1"/>
  <c r="I19" i="1" s="1"/>
  <c r="F17" i="1"/>
  <c r="I17" i="1" s="1"/>
  <c r="F39" i="1"/>
  <c r="I39" i="1" s="1"/>
  <c r="F53" i="1"/>
  <c r="I53" i="1" s="1"/>
  <c r="F28" i="1"/>
  <c r="I28" i="1" s="1"/>
  <c r="F50" i="1"/>
  <c r="I50" i="1" s="1"/>
  <c r="F56" i="1"/>
  <c r="I56" i="1" s="1"/>
  <c r="F31" i="1"/>
  <c r="I31" i="1" s="1"/>
  <c r="F45" i="1"/>
  <c r="I45" i="1" s="1"/>
  <c r="F20" i="1"/>
  <c r="I20" i="1" s="1"/>
  <c r="F42" i="1"/>
  <c r="I42" i="1" s="1"/>
  <c r="F48" i="1"/>
  <c r="I48" i="1" s="1"/>
  <c r="F23" i="1"/>
  <c r="I23" i="1" s="1"/>
  <c r="F37" i="1"/>
  <c r="I37" i="1" s="1"/>
  <c r="F51" i="1"/>
  <c r="I51" i="1" s="1"/>
  <c r="F34" i="1"/>
  <c r="I34" i="1" s="1"/>
  <c r="F24" i="1"/>
  <c r="I24" i="1" s="1"/>
  <c r="F40" i="1"/>
  <c r="I40" i="1" s="1"/>
  <c r="F15" i="1"/>
  <c r="I15" i="1" s="1"/>
  <c r="F29" i="1"/>
  <c r="I29" i="1" s="1"/>
  <c r="F43" i="1"/>
  <c r="I43" i="1" s="1"/>
  <c r="F26" i="1"/>
  <c r="I26" i="1" s="1"/>
  <c r="F57" i="1"/>
  <c r="I57" i="1" s="1"/>
  <c r="F49" i="1"/>
  <c r="I49" i="1" s="1"/>
  <c r="F32" i="1"/>
  <c r="I32" i="1" s="1"/>
  <c r="F46" i="1"/>
  <c r="I46" i="1" s="1"/>
  <c r="F21" i="1"/>
  <c r="I21" i="1" s="1"/>
  <c r="F35" i="1"/>
  <c r="I35" i="1" s="1"/>
  <c r="F18" i="1"/>
  <c r="I18" i="1" s="1"/>
  <c r="F38" i="2"/>
  <c r="I38" i="2" s="1"/>
  <c r="F25" i="2"/>
  <c r="I25" i="2" s="1"/>
  <c r="F32" i="2"/>
  <c r="I32" i="2" s="1"/>
  <c r="F28" i="2"/>
  <c r="I28" i="2" s="1"/>
  <c r="F24" i="2"/>
  <c r="I24" i="2" s="1"/>
  <c r="F18" i="2"/>
  <c r="I18" i="2" s="1"/>
  <c r="F14" i="2"/>
  <c r="I14" i="2" s="1"/>
  <c r="F41" i="3"/>
  <c r="I13" i="3"/>
  <c r="I41" i="3" s="1"/>
  <c r="I59" i="1" l="1"/>
  <c r="F59" i="1"/>
  <c r="I40" i="2"/>
  <c r="F40" i="2"/>
</calcChain>
</file>

<file path=xl/sharedStrings.xml><?xml version="1.0" encoding="utf-8"?>
<sst xmlns="http://schemas.openxmlformats.org/spreadsheetml/2006/main" count="678" uniqueCount="280">
  <si>
    <t>Tender Number:</t>
  </si>
  <si>
    <t xml:space="preserve">
Technical Evaluation Criteria
GATEKEEPER CRITERIA</t>
  </si>
  <si>
    <t>Transaction Description:</t>
  </si>
  <si>
    <t>Evaluated Tenderer's Registered Name:</t>
  </si>
  <si>
    <t>Demo (MDMS)</t>
  </si>
  <si>
    <t>Evaluator Name and Surname:</t>
  </si>
  <si>
    <t>Date of Evaluation</t>
  </si>
  <si>
    <t>Evaluator Signature</t>
  </si>
  <si>
    <r>
      <rPr>
        <b/>
        <sz val="10"/>
        <color theme="1"/>
        <rFont val="Arial"/>
        <family val="2"/>
      </rPr>
      <t>Important notes to vendors on demonstration:</t>
    </r>
    <r>
      <rPr>
        <sz val="10"/>
        <color theme="1"/>
        <rFont val="Arial"/>
        <family val="2"/>
      </rPr>
      <t xml:space="preserve">
Demonstrations will be held </t>
    </r>
    <r>
      <rPr>
        <sz val="10"/>
        <color rgb="FF0070C0"/>
        <rFont val="Arial"/>
        <family val="2"/>
      </rPr>
      <t>&lt;Physical location, Eskom MWP or EAL&gt;</t>
    </r>
    <r>
      <rPr>
        <sz val="10"/>
        <color theme="1"/>
        <rFont val="Arial"/>
        <family val="2"/>
      </rPr>
      <t xml:space="preserve">
You will have </t>
    </r>
    <r>
      <rPr>
        <sz val="10"/>
        <color rgb="FF0070C0"/>
        <rFont val="Arial"/>
        <family val="2"/>
      </rPr>
      <t>&lt;2&gt;</t>
    </r>
    <r>
      <rPr>
        <sz val="10"/>
        <color theme="1"/>
        <rFont val="Arial"/>
        <family val="2"/>
      </rPr>
      <t xml:space="preserve"> days to conclude your demonstration, including questions.
If you are invited for a demonstration, you will have roughly </t>
    </r>
    <r>
      <rPr>
        <sz val="10"/>
        <color rgb="FF0070C0"/>
        <rFont val="Arial"/>
        <family val="2"/>
      </rPr>
      <t xml:space="preserve">&lt;2 &gt; </t>
    </r>
    <r>
      <rPr>
        <sz val="10"/>
        <color theme="1"/>
        <rFont val="Arial"/>
        <family val="2"/>
      </rPr>
      <t xml:space="preserve">weeks to prepare.
For the demonstration you will be required to </t>
    </r>
    <r>
      <rPr>
        <sz val="10"/>
        <color rgb="FF0070C0"/>
        <rFont val="Arial"/>
        <family val="2"/>
      </rPr>
      <t xml:space="preserve">&lt;Prepare a demonstration. Presentations are also allowed. Demonstrated system should not be any alpha or beta versions, it must be a final production version&gt; </t>
    </r>
    <r>
      <rPr>
        <sz val="10"/>
        <color theme="1"/>
        <rFont val="Arial"/>
        <family val="2"/>
      </rPr>
      <t xml:space="preserve">
* All visitors are required to provide identification so please bring a </t>
    </r>
    <r>
      <rPr>
        <b/>
        <sz val="10"/>
        <color theme="1"/>
        <rFont val="Arial"/>
        <family val="2"/>
      </rPr>
      <t>driver's licence, ID or Passport</t>
    </r>
    <r>
      <rPr>
        <sz val="10"/>
        <color theme="1"/>
        <rFont val="Arial"/>
        <family val="2"/>
      </rPr>
      <t xml:space="preserve">, or you may not be allowed into the building. 
* Arrive </t>
    </r>
    <r>
      <rPr>
        <b/>
        <sz val="10"/>
        <color theme="1"/>
        <rFont val="Arial"/>
        <family val="2"/>
      </rPr>
      <t xml:space="preserve">10 minutes </t>
    </r>
    <r>
      <rPr>
        <sz val="10"/>
        <color theme="1"/>
        <rFont val="Arial"/>
        <family val="2"/>
      </rPr>
      <t xml:space="preserve">early to sign in your electronic devices at security, you will be collected from the main reception by an Eskom employee. 
* A projector with standard VGA connector will be provided, please bring along any </t>
    </r>
    <r>
      <rPr>
        <b/>
        <sz val="10"/>
        <color theme="1"/>
        <rFont val="Arial"/>
        <family val="2"/>
      </rPr>
      <t>adapters</t>
    </r>
    <r>
      <rPr>
        <sz val="10"/>
        <color theme="1"/>
        <rFont val="Arial"/>
        <family val="2"/>
      </rPr>
      <t xml:space="preserve"> you may need i.e. mac book adapter, HDMI etc.
* The venue does not have sound, if you need sound, please bring your own </t>
    </r>
    <r>
      <rPr>
        <b/>
        <sz val="10"/>
        <color theme="1"/>
        <rFont val="Arial"/>
        <family val="2"/>
      </rPr>
      <t>speaker</t>
    </r>
  </si>
  <si>
    <t xml:space="preserve">Priority
</t>
  </si>
  <si>
    <t xml:space="preserve">Weight
</t>
  </si>
  <si>
    <t>Evaluator Scores</t>
  </si>
  <si>
    <t>Comments (Internal) for scorer</t>
  </si>
  <si>
    <t>Compliance Status</t>
  </si>
  <si>
    <t>How to demonstrate</t>
  </si>
  <si>
    <t>Development
efforts</t>
  </si>
  <si>
    <t>Efforts (Man Days)</t>
  </si>
  <si>
    <t>Software</t>
  </si>
  <si>
    <t>Firmware</t>
  </si>
  <si>
    <t>Man days</t>
  </si>
  <si>
    <t>ID</t>
  </si>
  <si>
    <t xml:space="preserve">Business requirements </t>
  </si>
  <si>
    <t xml:space="preserve">Demonstration Brief </t>
  </si>
  <si>
    <t>Priority Description</t>
  </si>
  <si>
    <t>Weighted Question</t>
  </si>
  <si>
    <t>Scoring</t>
  </si>
  <si>
    <t>Answer
(0,50,100%)</t>
  </si>
  <si>
    <t>Weighted Answer</t>
  </si>
  <si>
    <t>Device Life Cycle Management</t>
  </si>
  <si>
    <t>Supplier to demonstrate how a customer is configured on the MDMS system both manually or as an import from the HES i.e. customer ID, Recoders linked to the customer, channel configuration, summary mapping etc</t>
  </si>
  <si>
    <t>Critical</t>
  </si>
  <si>
    <t>100%: Fully comply with requirement
50%:   Partially comply will require development/ customisation
0%:     No compliance</t>
  </si>
  <si>
    <t>Non-Compliant</t>
  </si>
  <si>
    <t>Medium</t>
  </si>
  <si>
    <t xml:space="preserve">1. Consumer creation form
2. Configuration of demand integration period
3. Channel Configuration
4. Unit of Measurement configuration
Show the result in configured Unit of Measurement values
We will show dummy values for other meter types. </t>
  </si>
  <si>
    <t>1. Check if demand integration period can be configured other than 15/30 minutes</t>
  </si>
  <si>
    <t>AMI Data Collection and Processing</t>
  </si>
  <si>
    <t xml:space="preserve">Demonstrate MDMS automated functionality of retrieving data from a HES.  </t>
  </si>
  <si>
    <t>Compliant</t>
  </si>
  <si>
    <t>1. On demand read from MDMS
2. Scheduled auto sync from HES to MDMS
3. Create on demand read from HES functionality in MDMS- Akshay Gupta</t>
  </si>
  <si>
    <t>VEE Functionality</t>
  </si>
  <si>
    <t>Demonstrate the MDMS  validation, estimations and editing (VEE) capability</t>
  </si>
  <si>
    <t>Partial-Compliant</t>
  </si>
  <si>
    <t>1. Editing functionality is yet to build. 
2. Every edited records should be tagged with proper log trail, who changed, what changed, old value, new value, remarks, change_time.</t>
  </si>
  <si>
    <t xml:space="preserve">1. There should be provision in the MDMS to edit a specific read and it should create a version of read. </t>
  </si>
  <si>
    <t>Billing Determinant Generation</t>
  </si>
  <si>
    <r>
      <t xml:space="preserve">Supplier to demonstrate the MDMS ability to perform calculations and aggregation such as generation of billing determinants </t>
    </r>
    <r>
      <rPr>
        <sz val="10"/>
        <color rgb="FFFF0000"/>
        <rFont val="Arial"/>
        <family val="2"/>
      </rPr>
      <t>(TOU and Critical Peak Pricing)</t>
    </r>
  </si>
  <si>
    <t xml:space="preserve">1. create CPP configure option in MDMS and will aggregate and calculate the CPP on the basis of Profile data(Block Load &amp; Billing Determinants)
2. generate historical data to demonstrate the same
</t>
  </si>
  <si>
    <t>Low</t>
  </si>
  <si>
    <t>Configuration of CPP should be in 15 minute resolution. 
Aggregate block consumption in a separate column in Billing Profile</t>
  </si>
  <si>
    <t xml:space="preserve">1. Check if meter have functionality for peak time register. If not, feature to be developed. </t>
  </si>
  <si>
    <t>On Demand Requests</t>
  </si>
  <si>
    <r>
      <t xml:space="preserve">Demonstate the MDMS capbility to initiate on demand reads and the triggers that initiate such reads from a meter (via  the approproiate HES).  Supplier to demonstrate how the demand reads are channelled to the appropriate HES and </t>
    </r>
    <r>
      <rPr>
        <sz val="10"/>
        <color rgb="FFFF0000"/>
        <rFont val="Arial"/>
        <family val="2"/>
      </rPr>
      <t>managed across multiple HES</t>
    </r>
    <r>
      <rPr>
        <sz val="10"/>
        <color theme="1"/>
        <rFont val="Arial"/>
        <family val="2"/>
      </rPr>
      <t>.</t>
    </r>
  </si>
  <si>
    <t xml:space="preserve">1. Create 2 HES with seprate meter serial
2. HES will push the commissioning details along with HES Id on MDMS
3. According to provided HES ID, MDMS will trigger the command
4. Need to handle HES id in command execution service.
</t>
  </si>
  <si>
    <t>We will have a mapping to each meter serial with respective HES ID
Deploy two HES - One with Polaris meters and other with Secure meters</t>
  </si>
  <si>
    <r>
      <t xml:space="preserve">Suppliers to demonstrate the available platforms for the provison of data to customers such as web portal and the security mechanisms in place to </t>
    </r>
    <r>
      <rPr>
        <sz val="10"/>
        <color rgb="FFFF0000"/>
        <rFont val="Arial"/>
        <family val="2"/>
      </rPr>
      <t>restrict customer access</t>
    </r>
    <r>
      <rPr>
        <sz val="10"/>
        <color theme="1"/>
        <rFont val="Arial"/>
        <family val="2"/>
      </rPr>
      <t xml:space="preserve">.  Also, Standardising of reports and graphs </t>
    </r>
  </si>
  <si>
    <t>Login control with Email/Password and OTP based in consumer portal and consumer mobile application
Email/Password &amp; Email OTP will be configured</t>
  </si>
  <si>
    <r>
      <t xml:space="preserve">Demonstrate the MDMS capability of managing customer and device configurations i.e. meters, concentrators, </t>
    </r>
    <r>
      <rPr>
        <sz val="10"/>
        <color rgb="FFFF0000"/>
        <rFont val="Arial"/>
        <family val="2"/>
      </rPr>
      <t>kiosks</t>
    </r>
    <r>
      <rPr>
        <sz val="10"/>
        <color theme="1"/>
        <rFont val="Arial"/>
        <family val="2"/>
      </rPr>
      <t xml:space="preserve"> etc across multiple platforms i.e. HES, Billing Systems, Meter Asset Management Systems.  </t>
    </r>
  </si>
  <si>
    <t>Important</t>
  </si>
  <si>
    <t>1. Show asset management tool listing devices by device_type
2. In HES demonstrate the list by meter_type (1P,3P, LT, HT) and DCUs
3. UI representation required from claude to take decision on timeline</t>
  </si>
  <si>
    <t>?</t>
  </si>
  <si>
    <t>Two way Communication Capability</t>
  </si>
  <si>
    <t>Demonstrate the MDMS capability of (automatically and manually) initiating remote connection/disconnection, power status checks and interactive reads.  Initiation of such commands to be provided by the MDMS whilst the action to be facilitated by the HES.    MDMS to store all data and logs associated with the action</t>
  </si>
  <si>
    <t>1. Command execution from the MDMS.
2. Show the response against the command.
3. Show the command history on MDMS and HES</t>
  </si>
  <si>
    <t>Demand Response</t>
  </si>
  <si>
    <r>
      <t xml:space="preserve">Demonstrate the MDMS capability to support Demand response and control functions such as </t>
    </r>
    <r>
      <rPr>
        <sz val="10"/>
        <color rgb="FFFF0000"/>
        <rFont val="Arial"/>
        <family val="2"/>
      </rPr>
      <t>load limiting, ACD and Critical Peak Pricing</t>
    </r>
  </si>
  <si>
    <t xml:space="preserve">1. We can use Load Curtailment to show the load limiting.
3. Need to create Configuration to store and change meter configuration
</t>
  </si>
  <si>
    <t>A demand response module in MDMS
selection of activity
on selected activity - applicable meters - load limit in percentage eg 50% (fetch from CIS) reset after DR
critical peak pricing -
selection of time duration. Notification to consumer before CCP
ACD 
Selection of time durations and appliance
Appliance should auto connect/disconnect in given time period</t>
  </si>
  <si>
    <t>What is the identifier for load curtailment, (led blink or event)</t>
  </si>
  <si>
    <t>Meter Events and Statuses</t>
  </si>
  <si>
    <t>Demonstrate the MDMS ability to support the following events and statuses:
* Reporting on power outage
* Load Control Status
* Load Limit Status
* ACD Status
* Meter Battery Health Status
* Report on Metering Events and Alarms
* Report on Kiosk Events
* Kiosk Status</t>
  </si>
  <si>
    <r>
      <rPr>
        <sz val="10"/>
        <color rgb="FF000000"/>
        <rFont val="Arial"/>
      </rPr>
      <t xml:space="preserve">Available reports:
* Reporting on power outage
* Report on Metering Events and Alarms
Can build immediately:
* Load Control Status
* Load Limit Status
Mock Reports : 
</t>
    </r>
    <r>
      <rPr>
        <strike/>
        <sz val="10"/>
        <color rgb="FF000000"/>
        <rFont val="Arial"/>
      </rPr>
      <t xml:space="preserve">* ACD Status
</t>
    </r>
    <r>
      <rPr>
        <sz val="10"/>
        <color rgb="FF000000"/>
        <rFont val="Arial"/>
      </rPr>
      <t xml:space="preserve">* Meter Battery Health Status
* </t>
    </r>
    <r>
      <rPr>
        <strike/>
        <sz val="10"/>
        <color rgb="FF000000"/>
        <rFont val="Arial"/>
      </rPr>
      <t>Report on Kiosk Events
* Kiosk Status</t>
    </r>
  </si>
  <si>
    <t>Meter Battery Health Status</t>
  </si>
  <si>
    <t>Reporting and Anlaytics</t>
  </si>
  <si>
    <t>Supplier to demonstrate the MDMS capabilities with regards to  load analysis, consumption patterns and energy balancing</t>
  </si>
  <si>
    <t>Reports available in dashboard
1. Load analysis
2. Consumption pattern
3. Energy Audit, Reliability Indices
4. EGSM reports</t>
  </si>
  <si>
    <t>Configuration Management</t>
  </si>
  <si>
    <r>
      <t xml:space="preserve">Demonstrate the MDMS ability to initiate following configuration changes (execution of changes to be facilitated via the HES)
* Meter change from post-payment to prepayment and vice versa
* Change account on meter remotely
* Change tariiffs on meter remotely
* Update Meter/Concentrator firmware remotely
* Remotely configure load control parameters
* Set/Synchronise  meter clock remotely
* </t>
    </r>
    <r>
      <rPr>
        <sz val="10"/>
        <color rgb="FFFF0000"/>
        <rFont val="Arial"/>
        <family val="2"/>
      </rPr>
      <t>Remote conversion to currency prepayment token</t>
    </r>
  </si>
  <si>
    <r>
      <rPr>
        <sz val="10"/>
        <color rgb="FF000000"/>
        <rFont val="Arial"/>
      </rPr>
      <t>Available configuration:
1. Payment mode changes
2. Visualise on meter showing wallet details in case of prepaid</t>
    </r>
    <r>
      <rPr>
        <sz val="10"/>
        <color rgb="FFFF0000"/>
        <rFont val="Arial"/>
      </rPr>
      <t xml:space="preserve">.
3. Tariff configuration on the meter
</t>
    </r>
    <r>
      <rPr>
        <sz val="10"/>
        <color rgb="FF000000"/>
        <rFont val="Arial"/>
      </rPr>
      <t>4. F/W upgrade on meter and DCU from HES
5. Load curtailment command execution
6. RTC Read and Sync command execution
7. Mock recharge</t>
    </r>
  </si>
  <si>
    <t>Change tariff of the consumer via API</t>
  </si>
  <si>
    <t>Prepayment tool for LPU</t>
  </si>
  <si>
    <r>
      <t xml:space="preserve">The supplier shall demonstrate the capability of the MDMS to support backend prepayment for Larger Power Users (Prepayment tool for LPUs)
• Current tariffs must be catered for (i.e Demand charges, Network charges, etc.)
• Provide for an interface to send commands to metering points via a communication interface
• Provide for an interface to send commands to metering points </t>
    </r>
    <r>
      <rPr>
        <sz val="10"/>
        <color rgb="FFFF0000"/>
        <rFont val="Arial"/>
        <family val="2"/>
      </rPr>
      <t>via SCADA</t>
    </r>
  </si>
  <si>
    <t xml:space="preserve">1. RC/ DC to perform on WC meters
</t>
  </si>
  <si>
    <t>1. Mock SCADA API integration with the MDMS
LTCT meter DI/DO port to be integrated with Relay. And Relay control through command execution</t>
  </si>
  <si>
    <t>Remote connect/disconnect for LPUs</t>
  </si>
  <si>
    <t xml:space="preserve">Demonstrate the ability of the system to support remote connect/disconnect for Large Power Users who are on prepayment metering </t>
  </si>
  <si>
    <t>Power Quality Analysis</t>
  </si>
  <si>
    <r>
      <rPr>
        <sz val="10"/>
        <color rgb="FF000000"/>
        <rFont val="Arial"/>
      </rPr>
      <t xml:space="preserve">Supplier to demonstrate Power Quality logging and analysis funtionality in accordance  to </t>
    </r>
    <r>
      <rPr>
        <sz val="10"/>
        <color rgb="FFFF0000"/>
        <rFont val="Arial"/>
      </rPr>
      <t xml:space="preserve">NRS 048
</t>
    </r>
  </si>
  <si>
    <t>Nice to have</t>
  </si>
  <si>
    <t>Meter power quality event available in MDMS</t>
  </si>
  <si>
    <t>Supplier to demonstrate the Power Quality logging and analysis funcitonality with respect to:
* Overvoltage
* Undervoltage
* Voltage Regulation</t>
  </si>
  <si>
    <t>Meter power quality event available in MDMS. Over voltage and Under voltage events available from meter.
Voltage regulation is to be shown with Voltage Deviation Index 
EGSM report to be demonstrate: Power Quality Reports</t>
  </si>
  <si>
    <t>Separate report visualisation for Under/Over Voltage events</t>
  </si>
  <si>
    <t>Outage Management</t>
  </si>
  <si>
    <r>
      <t xml:space="preserve">Supplier to demonstrate the MDMS capabilities with regards to outage management such as:
* Customer outage visibility
* </t>
    </r>
    <r>
      <rPr>
        <sz val="10"/>
        <color rgb="FFFF0000"/>
        <rFont val="Arial"/>
        <family val="2"/>
      </rPr>
      <t>Network fault location</t>
    </r>
    <r>
      <rPr>
        <sz val="10"/>
        <color theme="1"/>
        <rFont val="Arial"/>
        <family val="2"/>
      </rPr>
      <t xml:space="preserve">
* </t>
    </r>
    <r>
      <rPr>
        <sz val="10"/>
        <color rgb="FFFF0000"/>
        <rFont val="Arial"/>
        <family val="2"/>
      </rPr>
      <t>Communication fault analysis</t>
    </r>
    <r>
      <rPr>
        <sz val="10"/>
        <color theme="1"/>
        <rFont val="Arial"/>
        <family val="2"/>
      </rPr>
      <t xml:space="preserve">
</t>
    </r>
  </si>
  <si>
    <t>1. Outage report
2. Show Non Communicating devices in Map with consumer geo cordinates
3. Visualise error eg - Possible Meter NIC issue, RSSI strength. (Mock Data)</t>
  </si>
  <si>
    <t>Generation of Prepayment bill</t>
  </si>
  <si>
    <r>
      <t xml:space="preserve">Supplier to demonstrate the capability of the MDMS to </t>
    </r>
    <r>
      <rPr>
        <sz val="10"/>
        <color rgb="FFFF0000"/>
        <rFont val="Arial"/>
        <family val="2"/>
      </rPr>
      <t>generate a bill for smart prepayment meters</t>
    </r>
    <r>
      <rPr>
        <sz val="10"/>
        <color theme="1"/>
        <rFont val="Arial"/>
        <family val="2"/>
      </rPr>
      <t xml:space="preserve"> based on the consumption profile stored in the system. It shall be possible to generate a bill for prepayment meters every month, every 6 months or once a year.</t>
    </r>
  </si>
  <si>
    <t>1. Bill generation based on the Monthly Billing Profile with selection of time period. Bill sample format to be integrated with MDMS
2. Will be a section of prepayment bill generate, where for a consumer, billing determinants will appear, where user can create the bill on the basis of available Billing determinants basis, monthly, 6 months, Yearly</t>
  </si>
  <si>
    <t>1. Bill generation based on the Monthly Billing Profile with selection of time period. Bill sample format to be integrated with MDMS</t>
  </si>
  <si>
    <t>Support for currency and kWh meters</t>
  </si>
  <si>
    <r>
      <t xml:space="preserve">The supplier shall demonstrate the capability of the MDMS to support </t>
    </r>
    <r>
      <rPr>
        <sz val="10"/>
        <color rgb="FFFF0000"/>
        <rFont val="Arial"/>
        <family val="2"/>
      </rPr>
      <t>both kWh and currency token meters</t>
    </r>
    <r>
      <rPr>
        <sz val="10"/>
        <color theme="1"/>
        <rFont val="Arial"/>
        <family val="2"/>
      </rPr>
      <t xml:space="preserve"> as well indicating if the meter is on currency or kWh mode.</t>
    </r>
  </si>
  <si>
    <t xml:space="preserve">A token to be sent to meter with Currency Token and update the recharge and wallet balance in the meter. 
</t>
  </si>
  <si>
    <t>1. Add Token type in CIS - (kWh/Currency)
2. On Token recharge it should auto select the respective token_type</t>
  </si>
  <si>
    <t>kWh based wallet topup to be checked</t>
  </si>
  <si>
    <t>Support for virtual tokens</t>
  </si>
  <si>
    <r>
      <t xml:space="preserve">The supplier shall demonstrate the capability of the MDMS to store and send to the HES a token for pre-paid meters created by a vending system. For the purpose of the </t>
    </r>
    <r>
      <rPr>
        <sz val="10"/>
        <color rgb="FFFF0000"/>
        <rFont val="Arial"/>
        <family val="2"/>
      </rPr>
      <t>demonstration, a dummy token</t>
    </r>
    <r>
      <rPr>
        <sz val="10"/>
        <color theme="1"/>
        <rFont val="Arial"/>
        <family val="2"/>
      </rPr>
      <t xml:space="preserve"> created by a supplier (not necessarily from a vending system) may be used.</t>
    </r>
  </si>
  <si>
    <t>Support for additional prepayment registers</t>
  </si>
  <si>
    <t>The supplier shall demonstrate the capability of the system to store data retrieved from a pre-paid meter by the HES. In addition to events, alarms and profile data, the data stored for pre-paid meters will include the following:
* Firmware Version
* Decoder Reference Number/Meter serial number
* Primary Token Carrier Type
* Encryption Algorithm
* Tariff Index
* Key Revision Key Type
* Maximum Power Limit
* Available kWh Credit
* Cumulative kWh Energy Consumption
* Last Credit Token
* Tamper Status
* GPS Coordinates
* Supply Group Code</t>
  </si>
  <si>
    <t>Mock data to be added in CIS</t>
  </si>
  <si>
    <t>Audit Trail</t>
  </si>
  <si>
    <t>Demonstrate how the system handles audit trail management</t>
  </si>
  <si>
    <t xml:space="preserve">Audit trail of Command Execution, API trasactions are available
User access and session logs
VEE Editing Audit Trails
3rd Party Audit trail
Meter Event Log Trail
</t>
  </si>
  <si>
    <t xml:space="preserve">User Access </t>
  </si>
  <si>
    <r>
      <t>Demonstrate how users access the system, how is Microsoft Azure/</t>
    </r>
    <r>
      <rPr>
        <sz val="10"/>
        <color rgb="FFFF0000"/>
        <rFont val="Arial"/>
        <family val="2"/>
      </rPr>
      <t>Active directory</t>
    </r>
    <r>
      <rPr>
        <sz val="10"/>
        <color theme="1"/>
        <rFont val="Arial"/>
        <family val="2"/>
      </rPr>
      <t xml:space="preserve"> supported. Also show how segregation of duties is managed and data is secured.</t>
    </r>
  </si>
  <si>
    <t>Complete RBAC demonstration required:
1. User Creation
2. Role Creation
3. Update
4. Read/Write Access
5. Reports &amp; Analytics Access/ Module wise access</t>
  </si>
  <si>
    <t>Need to integration with MS-AD for RBAC</t>
  </si>
  <si>
    <t>Support</t>
  </si>
  <si>
    <r>
      <t xml:space="preserve">Demonstrate how the </t>
    </r>
    <r>
      <rPr>
        <sz val="10"/>
        <color rgb="FFFF0000"/>
        <rFont val="Arial"/>
        <family val="2"/>
      </rPr>
      <t>user can access help</t>
    </r>
    <r>
      <rPr>
        <sz val="10"/>
        <color theme="1"/>
        <rFont val="Arial"/>
        <family val="2"/>
      </rPr>
      <t xml:space="preserve"> from the system</t>
    </r>
  </si>
  <si>
    <t>Show help button on each screen showing details about the current page and business flows</t>
  </si>
  <si>
    <t>Help Desk pages to be added</t>
  </si>
  <si>
    <t>Reports
The Supplier should demonstrate the following reports (generated by the MDMS or associated tools used to interface to the MDMS e.g. Power BI, SAS).  Where possible graphical representation of the reports should also be demonstrated:</t>
  </si>
  <si>
    <t>1. Upload logs from all HES (uploaded files from HES to MDMS - Success/Failures etc)</t>
  </si>
  <si>
    <r>
      <t xml:space="preserve">Files processed from HES are tracked in MDMS tables.
</t>
    </r>
    <r>
      <rPr>
        <sz val="10"/>
        <color rgb="FFFF0000"/>
        <rFont val="Arial"/>
        <family val="2"/>
      </rPr>
      <t>Visualisation to be added</t>
    </r>
  </si>
  <si>
    <t>2. Data Availability Report (Timelines need to be flexible for drawing a report for 1 day, 2 days, 1 month)</t>
  </si>
  <si>
    <t>SLA dashboard for data profiles (Interval, Daily, Monthly) Available vs Non Available records for a time-duration</t>
  </si>
  <si>
    <t>3. Validation and Estimation Report</t>
  </si>
  <si>
    <r>
      <t xml:space="preserve">Data Available
</t>
    </r>
    <r>
      <rPr>
        <sz val="10"/>
        <color rgb="FFFF0000"/>
        <rFont val="Arial"/>
        <family val="2"/>
      </rPr>
      <t>Visualisation to be added</t>
    </r>
  </si>
  <si>
    <r>
      <t xml:space="preserve">4. Auto Plug/Auto Estimation Report - </t>
    </r>
    <r>
      <rPr>
        <sz val="10"/>
        <color rgb="FFFF0000"/>
        <rFont val="Arial"/>
        <family val="2"/>
      </rPr>
      <t>Auto plugging of check data</t>
    </r>
    <r>
      <rPr>
        <sz val="10"/>
        <color theme="1"/>
        <rFont val="Arial"/>
        <family val="2"/>
      </rPr>
      <t xml:space="preserve"> when main data is not available.  Supplier to demonstrate rules around auto-plugging.</t>
    </r>
  </si>
  <si>
    <t>5. Data Management Log - Record of all data that has been accepted or rejected</t>
  </si>
  <si>
    <t xml:space="preserve">6. Changed Data Log  (Timelines need to be flexible for drawing a report) </t>
  </si>
  <si>
    <r>
      <t xml:space="preserve">Data Available, data profile version to be shown
</t>
    </r>
    <r>
      <rPr>
        <sz val="10"/>
        <color rgb="FFFF0000"/>
        <rFont val="Arial"/>
        <family val="2"/>
      </rPr>
      <t>Visualisation to be added</t>
    </r>
  </si>
  <si>
    <t>7. Meter Profile Data Log - Supplier to also demonstrate graphical representation of report (Timelines need to be flexible for drawing a report)</t>
  </si>
  <si>
    <t>8. Consumption Report  - Supplier to also demonstrate graphical representation of report (Timelines need to be flexible for drawing a report)</t>
  </si>
  <si>
    <t>8.1 Monthly KVA reports</t>
  </si>
  <si>
    <t>8.2 Consumption per tariff rate of multiple metering points</t>
  </si>
  <si>
    <t>8.3 KVA exceedence vs NMD</t>
  </si>
  <si>
    <t>8.4. Low and no consumption report</t>
  </si>
  <si>
    <t>Reports</t>
  </si>
  <si>
    <t>9. Percentage Variance Report - The percentage variance report will be calculations on main – check.</t>
  </si>
  <si>
    <t>Check meter vs Main Meter comparison visualisation</t>
  </si>
  <si>
    <t>Specific view for data comparison in CIS</t>
  </si>
  <si>
    <t>Performance Reports</t>
  </si>
  <si>
    <t>10.1. Number of files received &amp; processed by MDMS</t>
  </si>
  <si>
    <t xml:space="preserve">
Performance Reports</t>
  </si>
  <si>
    <t>10.2. Performance relating to control functionality such as remote connects/disconnects, firmware upgrades etc (if initiated by MDMS )</t>
  </si>
  <si>
    <t xml:space="preserve">10.3 Performance relating to events/alarms, meter time &amp; date, battery lows etc (if it is to be recorderd by MDMS) </t>
  </si>
  <si>
    <t>10.4 Estimations done for the month</t>
  </si>
  <si>
    <t>10.5 User performance reports - Activities conducted by users.  Could be part of audit trails</t>
  </si>
  <si>
    <t>10.6. HES communication perfomance reports (communication between HES and field devices)</t>
  </si>
  <si>
    <t>11. Energy Balancing Report - Report on energy balancing exceedance/tolerance</t>
  </si>
  <si>
    <t>Energy audit report available</t>
  </si>
  <si>
    <t xml:space="preserve">12. Upload Logs from MDMS to back-end  Sytems  </t>
  </si>
  <si>
    <t>Data Available
Visualisation to be added</t>
  </si>
  <si>
    <t>Data Integrity</t>
  </si>
  <si>
    <r>
      <t xml:space="preserve">Demonstrate how </t>
    </r>
    <r>
      <rPr>
        <sz val="10"/>
        <color rgb="FFFF0000"/>
        <rFont val="Arial"/>
        <family val="2"/>
      </rPr>
      <t xml:space="preserve">business rules </t>
    </r>
    <r>
      <rPr>
        <sz val="10"/>
        <rFont val="Arial"/>
        <family val="2"/>
      </rPr>
      <t xml:space="preserve">can be added on the system to ensure </t>
    </r>
    <r>
      <rPr>
        <sz val="10"/>
        <color rgb="FFFF0000"/>
        <rFont val="Arial"/>
        <family val="2"/>
      </rPr>
      <t>data integrity</t>
    </r>
    <r>
      <rPr>
        <sz val="10"/>
        <color theme="1"/>
        <rFont val="Arial"/>
        <family val="2"/>
      </rPr>
      <t xml:space="preserve"> e.g. ID has 13 digits</t>
    </r>
  </si>
  <si>
    <t xml:space="preserve"> Medium</t>
  </si>
  <si>
    <t>CIS integration service have a frontend to control the data integrity of the columns. Eg on AccountID - check box for AlphaNumber, No of character</t>
  </si>
  <si>
    <t>FRID</t>
  </si>
  <si>
    <t>Description</t>
  </si>
  <si>
    <t xml:space="preserve">Admin Pamel to create 
	meter_make 
		Meter_type
			Select profile
				Configure channel (from defined superset)
				Use same names and control of parameters in metrology service
</t>
  </si>
  <si>
    <t>HES sync trigger api integration on MDMS</t>
  </si>
  <si>
    <t>NA</t>
  </si>
  <si>
    <t>Demo (HES - DAS)</t>
  </si>
  <si>
    <t>Remarks</t>
  </si>
  <si>
    <t>Approach to achieve compliance</t>
  </si>
  <si>
    <t>Effort Estimate (Man Days)</t>
  </si>
  <si>
    <t>Jira Link</t>
  </si>
  <si>
    <t>Functional</t>
  </si>
  <si>
    <t>Show that when a smart meter is connected directly to the HES, it can be picked up and its details recorded on the HES.</t>
  </si>
  <si>
    <t>Auto Registration Flow</t>
  </si>
  <si>
    <t>When meter starts and sends any push to HES, HES will pull nameplate and profile instant from the meter and it will be marked as installed in HES</t>
  </si>
  <si>
    <t>Show that when a smart meter is connected via a Concentrator to the HES, both the Concentrator and the Smart Meter can be picked up and their details recorded on the HES.</t>
  </si>
  <si>
    <t>Only Applocable for RF Meters</t>
  </si>
  <si>
    <t>When a meter connect via DCU, DCU details will also be attached with the meter details</t>
  </si>
  <si>
    <t>Show that when adding other meters to the concentrator above, that these meters can be picked up and their details recorded on the HES</t>
  </si>
  <si>
    <r>
      <t xml:space="preserve">Show that when a </t>
    </r>
    <r>
      <rPr>
        <sz val="9"/>
        <color rgb="FFFF0000"/>
        <rFont val="Arial"/>
        <family val="2"/>
      </rPr>
      <t>smart meter is removed</t>
    </r>
    <r>
      <rPr>
        <sz val="9"/>
        <color rgb="FF000000"/>
        <rFont val="Arial"/>
        <family val="2"/>
      </rPr>
      <t xml:space="preserve"> from the environment above, this event can be recorded.</t>
    </r>
  </si>
  <si>
    <t>API to mark meter as un-installed needs to be created</t>
  </si>
  <si>
    <t>1. API will be exposed, user will be able to update if meter installation status
2. Later on this API can be integrated with WFM
3. As soon as meter is marked as un-installed, HES will stop pulling data from schedulers</t>
  </si>
  <si>
    <t>Need to discuss with ESKOM</t>
  </si>
  <si>
    <t>Show that you can remotely configure a Smart meter from the HES.</t>
  </si>
  <si>
    <t>* TOD Configuration
* Metering Mode change
* Payment Mode Change
* Load change
* demand Integration Period
* Profile Capture Period</t>
  </si>
  <si>
    <r>
      <t xml:space="preserve">Show that you can </t>
    </r>
    <r>
      <rPr>
        <sz val="9"/>
        <color rgb="FFFF0000"/>
        <rFont val="Arial"/>
        <family val="2"/>
      </rPr>
      <t>time synchronize</t>
    </r>
    <r>
      <rPr>
        <sz val="9"/>
        <color rgb="FF000000"/>
        <rFont val="Arial"/>
        <family val="2"/>
      </rPr>
      <t xml:space="preserve"> between the meter and HES.</t>
    </r>
  </si>
  <si>
    <t>* RTC and we can also demonstrate through RTC Sync Scheduler Automatically</t>
  </si>
  <si>
    <r>
      <t xml:space="preserve">Show that you can </t>
    </r>
    <r>
      <rPr>
        <sz val="9"/>
        <color rgb="FFFF0000"/>
        <rFont val="Arial"/>
        <family val="2"/>
      </rPr>
      <t>change the Tariff</t>
    </r>
    <r>
      <rPr>
        <sz val="9"/>
        <color rgb="FF000000"/>
        <rFont val="Arial"/>
        <family val="2"/>
      </rPr>
      <t xml:space="preserve"> on the Meter from the HES.</t>
    </r>
  </si>
  <si>
    <t>We will demonstrate functionality of prepaid mode and postpaid mode. We will pitch that prepaid computation is done on cloud. Later on once STS Meter is integrated, we prepaid will run in meter itself with tarrifs</t>
  </si>
  <si>
    <t>STS Meter and Integration required</t>
  </si>
  <si>
    <t>Show that you can change the mode of the Smart Meter from Post-Paid to Pre-Paid or Vice Versa</t>
  </si>
  <si>
    <t>* Payment Mode Change Command</t>
  </si>
  <si>
    <t>Show a simulation of Appliance Control Function in the demonstration environment.</t>
  </si>
  <si>
    <t>Need to discuss with Firmware team</t>
  </si>
  <si>
    <t>Removed from scope</t>
  </si>
  <si>
    <t>Attach a appliance with meter through DI/BLE. Achieve on/off device through HES command execution</t>
  </si>
  <si>
    <t>TBD</t>
  </si>
  <si>
    <r>
      <rPr>
        <sz val="9"/>
        <color rgb="FF000000"/>
        <rFont val="Arial"/>
        <family val="2"/>
      </rPr>
      <t xml:space="preserve">Show that you can send a message from the HES to the meter to be displayed on the </t>
    </r>
    <r>
      <rPr>
        <sz val="9"/>
        <color rgb="FFFF0000"/>
        <rFont val="Arial"/>
        <family val="2"/>
      </rPr>
      <t>Customer Interface Unit</t>
    </r>
    <r>
      <rPr>
        <sz val="9"/>
        <color rgb="FF000000"/>
        <rFont val="Arial"/>
        <family val="2"/>
      </rPr>
      <t xml:space="preserve"> of the meter.</t>
    </r>
  </si>
  <si>
    <t>Need to integrate the HES with Mobile App Backend for sending msg and removing msg. Mobile app will use short polling to show the message in near realtime.</t>
  </si>
  <si>
    <t>Consider SmartPhone as CIU. Send Notification or message to mobile device through Meter via BLE</t>
  </si>
  <si>
    <t>SMS can't be sent without DLT approval</t>
  </si>
  <si>
    <t>F/W upgrade is required</t>
  </si>
  <si>
    <t xml:space="preserve">FW Needed from </t>
  </si>
  <si>
    <r>
      <t xml:space="preserve">Show that you can </t>
    </r>
    <r>
      <rPr>
        <sz val="9"/>
        <color rgb="FFFF0000"/>
        <rFont val="Arial"/>
        <family val="2"/>
      </rPr>
      <t>clear a message</t>
    </r>
    <r>
      <rPr>
        <sz val="9"/>
        <color theme="1"/>
        <rFont val="Arial"/>
        <family val="2"/>
      </rPr>
      <t xml:space="preserve"> sent to the Smart Meter.</t>
    </r>
  </si>
  <si>
    <t>Firmware required to be updated to show and clear message received from HES</t>
  </si>
  <si>
    <t>We will consider mobile application as CIU, HES will have a provision to set/clear a message for a consumer</t>
  </si>
  <si>
    <t>Show that you can load a pre-paid token on the meter from the HES.</t>
  </si>
  <si>
    <t>Confirmation required if we are going to take STS Meter</t>
  </si>
  <si>
    <t>1. User will be able to add STS token on HES frontend for a specific Meter
2. STS Token will be decrypted at HES Backend to determine recharge amount
3. HES will automatically fire "Set Token Amount" Command to the meter, which will be shown on frontend</t>
  </si>
  <si>
    <r>
      <t xml:space="preserve">Show that you can </t>
    </r>
    <r>
      <rPr>
        <sz val="9"/>
        <color rgb="FFFF0000"/>
        <rFont val="Arial"/>
        <family val="2"/>
      </rPr>
      <t>check available credit</t>
    </r>
    <r>
      <rPr>
        <sz val="9"/>
        <color theme="1"/>
        <rFont val="Arial"/>
        <family val="2"/>
      </rPr>
      <t xml:space="preserve"> on the smart meter from the HES.</t>
    </r>
  </si>
  <si>
    <t>Get Balance Command</t>
  </si>
  <si>
    <t>Show that you can disconnect a smart meter from HES.</t>
  </si>
  <si>
    <t xml:space="preserve">Relay-Off </t>
  </si>
  <si>
    <t>Show that you can reconnect smart meter from HES.</t>
  </si>
  <si>
    <t>Relay-On</t>
  </si>
  <si>
    <t>Show that the HES can remotely update the firmware of the Smart Meter (downgrade / upgrade).</t>
  </si>
  <si>
    <t>Should only do this on GPRS Meters for faster transfer of FOTA.</t>
  </si>
  <si>
    <t>Need downgrade and upgrade files from firmware team for the taken meters</t>
  </si>
  <si>
    <t>Show that the HES can get the meter reads on Demand.</t>
  </si>
  <si>
    <t>ODR</t>
  </si>
  <si>
    <t>Show that the HES can get scheduled meter reads.</t>
  </si>
  <si>
    <t>Scheduler</t>
  </si>
  <si>
    <r>
      <t>Show support for single phase and 3-phase meters (</t>
    </r>
    <r>
      <rPr>
        <sz val="9"/>
        <color rgb="FFFF0000"/>
        <rFont val="Arial"/>
        <family val="2"/>
      </rPr>
      <t>bring along all the meters</t>
    </r>
    <r>
      <rPr>
        <sz val="9"/>
        <color theme="1"/>
        <rFont val="Arial"/>
        <family val="2"/>
      </rPr>
      <t>).</t>
    </r>
  </si>
  <si>
    <r>
      <t xml:space="preserve">Show that you can </t>
    </r>
    <r>
      <rPr>
        <sz val="9"/>
        <color rgb="FFFF0000"/>
        <rFont val="Arial"/>
        <family val="2"/>
      </rPr>
      <t>reset meter logs</t>
    </r>
    <r>
      <rPr>
        <sz val="9"/>
        <color theme="1"/>
        <rFont val="Arial"/>
        <family val="2"/>
      </rPr>
      <t xml:space="preserve"> from the HES</t>
    </r>
  </si>
  <si>
    <t>Need Clarification</t>
  </si>
  <si>
    <t xml:space="preserve">Need to discuss the feature </t>
  </si>
  <si>
    <t>MDI Reset Command to change the MD manually</t>
  </si>
  <si>
    <t>Update</t>
  </si>
  <si>
    <t>Non Functional</t>
  </si>
  <si>
    <t>Show that the system provides the GUI as a web based client</t>
  </si>
  <si>
    <t>Show that the system is able to display or provide a configurable menu selection, applicable to the user and the functionalities he must perform.</t>
  </si>
  <si>
    <t>RBAC - Refer "Demo - Implementation Detail" Sheet</t>
  </si>
  <si>
    <t>Same as point# 24</t>
  </si>
  <si>
    <r>
      <t xml:space="preserve">Demonstrate that the </t>
    </r>
    <r>
      <rPr>
        <sz val="9"/>
        <color rgb="FFFF0000"/>
        <rFont val="Arial"/>
        <family val="2"/>
      </rPr>
      <t>system can be configured decoupled</t>
    </r>
    <r>
      <rPr>
        <sz val="9"/>
        <color rgb="FF000000"/>
        <rFont val="Arial"/>
        <family val="2"/>
      </rPr>
      <t xml:space="preserve">. This will entail the following:
•       The Communication Server / Element of the system deployed separate from the Application / Database Server.
•       The Application Server deployed separate from the Database and Communication Server
•       The Database Server deployed separate from the Communication Server and Database Server
</t>
    </r>
  </si>
  <si>
    <t>Document related to architecture needs to be created</t>
  </si>
  <si>
    <r>
      <rPr>
        <sz val="9"/>
        <color rgb="FF000000"/>
        <rFont val="Arial"/>
        <family val="2"/>
      </rPr>
      <t xml:space="preserve">Demonstrate the system’s ability to apply </t>
    </r>
    <r>
      <rPr>
        <sz val="9"/>
        <color rgb="FFFF0000"/>
        <rFont val="Arial"/>
        <family val="2"/>
      </rPr>
      <t>access security</t>
    </r>
    <r>
      <rPr>
        <sz val="9"/>
        <color rgb="FF000000"/>
        <rFont val="Arial"/>
        <family val="2"/>
      </rPr>
      <t xml:space="preserve"> based on the following:
•       Define CRUD based on presentation forms
•       Define CRUD based on database objects, i.e. tables, methods and services.
•       Allocate above to role profiles.
•      Linking roles to users
•      Apply role based security according to set-up in run-time environment.</t>
    </r>
  </si>
  <si>
    <r>
      <t xml:space="preserve">Reports:
</t>
    </r>
    <r>
      <rPr>
        <sz val="9"/>
        <color rgb="FFFF0000"/>
        <rFont val="Arial"/>
        <family val="2"/>
      </rPr>
      <t xml:space="preserve">- Show that the system has the applicable standard reports.
- Demonstrate that the system has the capability to construct and store a user defined report for future use.  
</t>
    </r>
    <r>
      <rPr>
        <sz val="9"/>
        <color rgb="FF000000"/>
        <rFont val="Arial"/>
        <family val="2"/>
      </rPr>
      <t xml:space="preserve">- </t>
    </r>
    <r>
      <rPr>
        <sz val="9"/>
        <color theme="9"/>
        <rFont val="Arial"/>
        <family val="2"/>
      </rPr>
      <t>Demonstrate the system’s ability to print a user friendly report of data presented on a form both electronically or directly to PDF.</t>
    </r>
    <r>
      <rPr>
        <sz val="9"/>
        <color rgb="FF000000"/>
        <rFont val="Arial"/>
        <family val="2"/>
      </rPr>
      <t xml:space="preserve">
 - Demonstrate ability of system to allow </t>
    </r>
    <r>
      <rPr>
        <sz val="9"/>
        <color rgb="FFFF0000"/>
        <rFont val="Arial"/>
        <family val="2"/>
      </rPr>
      <t>extraction of raw data</t>
    </r>
    <r>
      <rPr>
        <sz val="9"/>
        <color rgb="FF000000"/>
        <rFont val="Arial"/>
        <family val="2"/>
      </rPr>
      <t xml:space="preserve"> to be used in other BI /  analytical systems</t>
    </r>
  </si>
  <si>
    <t>Need to discuss which reports needs to be created</t>
  </si>
  <si>
    <t>TBD
If we show just dummy reports on frontend, then it should be less than 2 days effort</t>
  </si>
  <si>
    <r>
      <rPr>
        <sz val="9"/>
        <color rgb="FF000000"/>
        <rFont val="Arial"/>
        <family val="2"/>
      </rPr>
      <t xml:space="preserve">Demonstrate the system ability to activate in </t>
    </r>
    <r>
      <rPr>
        <sz val="9"/>
        <color rgb="FFFF0000"/>
        <rFont val="Arial"/>
        <family val="2"/>
      </rPr>
      <t>real-time a help menu</t>
    </r>
    <r>
      <rPr>
        <sz val="9"/>
        <color rgb="FF000000"/>
        <rFont val="Arial"/>
        <family val="2"/>
      </rPr>
      <t xml:space="preserve"> can be activated from a form that displays content information containing for example:
•       The applicable process and process description of the selected form
•       The description of that form
•       The relating field description and business rules </t>
    </r>
  </si>
  <si>
    <t>1. User will be able to see help menu against each input form through Frontend</t>
  </si>
  <si>
    <t>https://grampower.atlassian.net/browse/PC-14975</t>
  </si>
  <si>
    <t>HES Todos for MDM Demo</t>
  </si>
  <si>
    <t>API needs to be created to start syncing of data from HES to MDM</t>
  </si>
  <si>
    <t>https://grampower.atlassian.net/browse/PC-14974</t>
  </si>
  <si>
    <t>Editing Functionality Needs to be created at VEE. It must store edit history &amp; remarks. Who changed, what changed, old value, new value</t>
  </si>
  <si>
    <t>https://grampower.atlassian.net/browse/PC-14970</t>
  </si>
  <si>
    <t>Admin users need to have a full provision of RBAC with:
1. Create / Assign new roles to a user (Assume user is already created)
2. For a particular role, allow user to select modules of frontend
3. Under each frontend option, admin user can choose read/write permission.
4. Audit logs must be stored for admin users. Which admin user changed what role at what time
1. When user logs in, frontend fetches all permissions and role of the give user and render only those menus that the user is permitted to.
2. In case of read-access for a given menu, user will be shown greyed-out buttons</t>
  </si>
  <si>
    <t>Demo (SMOC)</t>
  </si>
  <si>
    <t>Functional Category</t>
  </si>
  <si>
    <t>Requirement</t>
  </si>
  <si>
    <t>Physical Infrastructure and Facility for all SMOCs</t>
  </si>
  <si>
    <t xml:space="preserve">Show redering of SMOC layout, cosmetic and aesthetic elements. Redering must be presented to technical team and further details can be voiced.  </t>
  </si>
  <si>
    <t>Control Room Operations and Ergonomics</t>
  </si>
  <si>
    <t>Show redering of SMOC physical hardware to be installed in SMOC</t>
  </si>
  <si>
    <t xml:space="preserve">SMOC room and A&amp;V and environmental management solution </t>
  </si>
  <si>
    <t>Demostrate the controlability of the room solution by the the system that can do the following:
* move screen from any of the consoles (operators desks) onto the video wall
* the video wall can be segmented with clear readability from mulitple display windows, to two display windows,
* The solution can control periheral devices such as blinds, HVAC,
* Show system security for multiple user accessing with different security access levels,
* Demostrate teams functionality in room, with camera, audio and adjustments.</t>
  </si>
  <si>
    <t>AMI (Energy)
management solution</t>
  </si>
  <si>
    <t>Demostrate the solution functionality to be able to Display the following :
* To management, in real time, of the LV network and have a strong focus on Advance metering infrastructure. 
* Enhance operational efficiency by automating meter reading, remote connect/disconnect, bring in sensor inputs from LV network and creating rules/function to address alarms and theft detection
* Improve outage detection, management, and restoration times.
* Provide customer with detailed energy usage information to enable conservation
* Detect and reduce non-technical losses
* Support the integration of distributed energy resources like rooftop and EVs etc.</t>
  </si>
  <si>
    <t>Demostrate the solution abillity to Display the following HES functionality, to complete via HES::
* automated meter provisioning,
* remote connection/disconnection for services,
* firmware update to meters in field,
* Collect and buffer interval consumption data for all meter types,
alarms/events from meters,
* real-time communication network health monitoring and diagnostics.</t>
  </si>
  <si>
    <t>Demostrate the solution is able to Display the following MDMS functionality, to complete via MDMS:
* Perform validation, editing, and estimation VEE on all metering data,
* Support complex tariff and rate engine calculation,
* Enrich meter data by associating with customer, premise, and transformer/phase information from Customer Care &amp; Billing system CC&amp;B(CIS) and GIS,
* Generate load profiles for different customer classes,
* Provide tamper and theft analytics based on usage patterns and event flags,
* Serve as the single sources of truth for meter data, providing secure APIs for data export to other systems (CIS, Analytics and GIS)</t>
  </si>
  <si>
    <t xml:space="preserve">Demostrate the solution is able to Display the following, either on its own or through MDMS and HES:
* Provide outage intelligence by correlating events, alarms and other system data to prove pinpoint outage location on a map, with visualisation through GIS,
* Offer LV network visibility (Voltage profile, transformer loading) using meter data and sensors,
* Enable prepaid metering functionality if required,
* Provide customizable dashboards and reports for both operational and business users.
</t>
  </si>
  <si>
    <t xml:space="preserve">Demostrate the solution provided can display the following functions:
* Energy Monitoring:
* Energy flow, energy balance,
 * Branch energy consumption monitoring,
* Calibration and sub item monitor, 
* Meter rea-time date monitoring,
* Meter hourly data monitoring and 
* equipment parameter reporting
</t>
  </si>
  <si>
    <t xml:space="preserve">Demostrate the solution provided can display the following functions:
Energy saving Analysis:
* Company/Department/costomer/branch consumption analysis,
</t>
  </si>
  <si>
    <t xml:space="preserve">Demostrate the solution provided can display the following functions:
Alert management:
* Virtual object group information
* Alarm rules creation and information,
* Alarm Subscription for priorities and SMS/email/app notification to customer
</t>
  </si>
  <si>
    <t xml:space="preserve">Demostrate the solution provided can display the following functions:
Data monitoring and performance:
* Meter information accuracy in all AMI value chain and systems (HES, MDMS, CC&amp;B) – (The data collection and monitoring of instruments allow viewing the recent collection status of all metering instruments under the gateway, including information such as the instrument code, instrument name, last collection time, and online status.)
</t>
  </si>
  <si>
    <t xml:space="preserve">Demostrate the solution provided can display the following functions:
System management:
* Supplier and product information of meters and supporting LV devices to management instrument and supplier performance per equipment in field
</t>
  </si>
  <si>
    <t xml:space="preserve">Demostrate the solution provided can display the following functions:
Audit Statement Management:
* Energy Intensive reading report to centralized meter reading, can inquire energy consumption information of all meters, including daily energy usage data and periodic energy usage data.
</t>
  </si>
  <si>
    <t xml:space="preserve">Demostrate the solution provided can display the following functions:
Electricity consumption reporting:
* Daily and monthly Electricity meter reading reporting,
* Daily and monthly Electricity consumption reporting,
* Daily and monthly Electricity purchasing reporting.
</t>
  </si>
  <si>
    <t xml:space="preserve">Demostrate the solution provided can display the following functions:
Management of other energy resources through AMI:
* PV systems (Photovoltaic system, customize development dashboard module, displaying information about the photovoltaic system, including power generation, inverter online status, generation achievement rate, daily equivalent hours of utilization, and other information.)
</t>
  </si>
  <si>
    <t xml:space="preserve">Demostrate the solution provided can display the following functions:
Storage Management (Energy storage management system, * customize development dashboard module, displaying information about the energy storage system, including real-time status of the energy storage cabinet, number of charge and discharge cycles, energy storage revenue, and other information.)
</t>
  </si>
  <si>
    <t xml:space="preserve">Demostrate the solution provided can display the following functions:
EV Charging management system (Charging management system, customize development dashboard module, displaying information about the charging piles, including the operation status of the charging piles, charging fee statistics, energy consumption data of the charging piles, and other information.)
</t>
  </si>
  <si>
    <t xml:space="preserve">Demostrate the solution provided can display the following functions:
Power Distribution Management system (Distribution management system, customize development dashboard module, displaying information about the distribution room, including real-time monitoring of the distribution room, alarm information from the distribution room, real-time data from sensors such as smoke detectors and water immersion, etc.)
</t>
  </si>
  <si>
    <t>Demostrate the solution provided can display the following functions:
Demostration must show data in different means, through GIS, dashboards, KPIs etc.</t>
  </si>
  <si>
    <t>Show the dashboards/displays for segments on the distribution network with customer with DER (PV, BESS, Microgrid etc). To be identified is the true situational awareness tool of the status of the DER, feeder loading, voltage, currents and affects on the network.</t>
  </si>
  <si>
    <t>Show the dashboards/displays/simulate a sunny afternoon where high solar export for our residentioal neighbourhood, while causing over voltage condition on the specific LV feeder. Show the status of network, the relevant alarms and how automatic calucations are calculated or/and execute solution. Show Smart inverter information to curtail real power. The algorithm will need to be explained</t>
  </si>
  <si>
    <t>Show the dashboards/displays/simulate a EV fast charging station that has just been energised. Show the impact on the local transformer and demostrate loading factors, and how to prevent overload. further demostration on performnace on the EV charger when charging a vehilce, information on load profile, currents etc. The demostation should identify forecasting to incorporate predictable EV charging behaviors. Show commands to curtail the chargining station power draw.</t>
  </si>
  <si>
    <t>Show the dashboards/displays/simulate a peaking microgrid that is coming online and how reverse power flow on the feeder. Demostrate how the solution addresses this scenario on a transformer feeder. Demostrate how solution manages individual assets or truly aggregation them, one additional DER must be added(PV, EV, BESS).</t>
  </si>
  <si>
    <t xml:space="preserve">Show the dashboards/displays/simulate a fault on the network . Show how the solution can fault find through fault location, isolation etc capabilities. Intergrate with AMI outage data must be shown. </t>
  </si>
  <si>
    <t>Show the dashboards/displays/simulate a additional sensor assets on the network. Through the AMI there could be sensors in/on transformer which communicated to DCU. Show what data is represented and how action on them can be taken</t>
  </si>
  <si>
    <t>Demostrate the use of GIS to identify areas with most alarms, high or low energy consumption. GIS must be represented from large area to transformer feeder. The details shown on GIS display from high level data to refined data at transformer level. With the respective commonds also changing according to assets represented on screen</t>
  </si>
  <si>
    <t>Application usage for business and customer. With Application development</t>
  </si>
  <si>
    <t>Show the development functionality for customerisation of display, rules, algorithms and APP creation.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</si>
</sst>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Red]\-0\ "/>
  </numFmts>
  <fonts count="38">
    <font>
      <sz val="11"/>
      <color theme="1"/>
      <name val="Satoshi Medium"/>
      <family val="2"/>
    </font>
    <font>
      <sz val="11"/>
      <color theme="1"/>
      <name val="Satoshi Medium"/>
      <family val="2"/>
    </font>
    <font>
      <b/>
      <sz val="10"/>
      <name val="Arial"/>
      <family val="2"/>
    </font>
    <font>
      <sz val="10"/>
      <color indexed="8"/>
      <name val="Arial"/>
      <family val="2"/>
    </font>
    <font>
      <sz val="11"/>
      <color theme="1"/>
      <name val="Aptos Narrow"/>
      <family val="2"/>
      <scheme val="minor"/>
    </font>
    <font>
      <sz val="11"/>
      <color theme="1"/>
      <name val="Arial"/>
      <family val="2"/>
    </font>
    <font>
      <b/>
      <sz val="11"/>
      <color theme="1"/>
      <name val="Arial"/>
      <family val="2"/>
    </font>
    <font>
      <b/>
      <u/>
      <sz val="12"/>
      <color theme="1"/>
      <name val="Arial"/>
      <family val="2"/>
    </font>
    <font>
      <b/>
      <sz val="8"/>
      <color indexed="8"/>
      <name val="Arial"/>
      <family val="2"/>
    </font>
    <font>
      <sz val="8"/>
      <color indexed="8"/>
      <name val="Arial"/>
      <family val="2"/>
    </font>
    <font>
      <b/>
      <sz val="10"/>
      <color indexed="8"/>
      <name val="Arial"/>
      <family val="2"/>
    </font>
    <font>
      <sz val="10"/>
      <color theme="1"/>
      <name val="Arial"/>
      <family val="2"/>
    </font>
    <font>
      <b/>
      <sz val="10"/>
      <color theme="1"/>
      <name val="Arial"/>
      <family val="2"/>
    </font>
    <font>
      <sz val="10"/>
      <color rgb="FF0070C0"/>
      <name val="Arial"/>
      <family val="2"/>
    </font>
    <font>
      <sz val="10"/>
      <color indexed="62"/>
      <name val="Arial"/>
      <family val="2"/>
    </font>
    <font>
      <sz val="10"/>
      <name val="Arial"/>
      <family val="2"/>
    </font>
    <font>
      <b/>
      <sz val="10"/>
      <color indexed="62"/>
      <name val="Arial"/>
      <family val="2"/>
    </font>
    <font>
      <sz val="9"/>
      <name val="Arial"/>
      <family val="2"/>
    </font>
    <font>
      <sz val="9"/>
      <color rgb="FF000000"/>
      <name val="Arial"/>
      <family val="2"/>
    </font>
    <font>
      <sz val="9"/>
      <color theme="1"/>
      <name val="Arial"/>
      <family val="2"/>
    </font>
    <font>
      <sz val="10"/>
      <color rgb="FF000000"/>
      <name val="Arial"/>
      <family val="2"/>
    </font>
    <font>
      <sz val="10"/>
      <color rgb="FFFF0000"/>
      <name val="Arial"/>
      <family val="2"/>
    </font>
    <font>
      <sz val="9"/>
      <color rgb="FFFF0000"/>
      <name val="Arial"/>
      <family val="2"/>
    </font>
    <font>
      <sz val="9"/>
      <color theme="9"/>
      <name val="Arial"/>
      <family val="2"/>
    </font>
    <font>
      <u/>
      <sz val="11"/>
      <color theme="10"/>
      <name val="Satoshi Medium"/>
      <family val="2"/>
    </font>
    <font>
      <b/>
      <sz val="10"/>
      <color indexed="8"/>
      <name val="Arial"/>
    </font>
    <font>
      <sz val="10"/>
      <color indexed="8"/>
      <name val="Arial"/>
    </font>
    <font>
      <strike/>
      <sz val="10"/>
      <color indexed="8"/>
      <name val="Arial"/>
      <family val="2"/>
    </font>
    <font>
      <strike/>
      <sz val="9"/>
      <name val="Arial"/>
      <family val="2"/>
    </font>
    <font>
      <strike/>
      <sz val="9"/>
      <color rgb="FF000000"/>
      <name val="Arial"/>
      <family val="2"/>
    </font>
    <font>
      <strike/>
      <sz val="10"/>
      <color indexed="62"/>
      <name val="Arial"/>
      <family val="2"/>
    </font>
    <font>
      <strike/>
      <sz val="10"/>
      <name val="Arial"/>
      <family val="2"/>
    </font>
    <font>
      <sz val="9"/>
      <name val="Arial"/>
    </font>
    <font>
      <sz val="9"/>
      <color rgb="FF000000"/>
      <name val="Arial"/>
    </font>
    <font>
      <sz val="10"/>
      <color rgb="FF000000"/>
      <name val="Arial"/>
    </font>
    <font>
      <sz val="10"/>
      <color rgb="FFFF0000"/>
      <name val="Arial"/>
    </font>
    <font>
      <sz val="10"/>
      <color theme="1"/>
      <name val="Arial"/>
    </font>
    <font>
      <strike/>
      <sz val="10"/>
      <color rgb="FF000000"/>
      <name val="Arial"/>
    </font>
  </fonts>
  <fills count="19">
    <fill>
      <patternFill patternType="none"/>
    </fill>
    <fill>
      <patternFill patternType="gray125"/>
    </fill>
    <fill>
      <patternFill patternType="solid">
        <fgColor theme="0" tint="-0.14999847407452621"/>
        <bgColor indexed="51"/>
      </patternFill>
    </fill>
    <fill>
      <patternFill patternType="solid">
        <fgColor theme="8" tint="0.59999389629810485"/>
        <bgColor indexed="40"/>
      </patternFill>
    </fill>
    <fill>
      <patternFill patternType="solid">
        <fgColor rgb="FF92D050"/>
        <bgColor indexed="23"/>
      </patternFill>
    </fill>
    <fill>
      <patternFill patternType="solid">
        <fgColor rgb="FF92D050"/>
        <bgColor indexed="64"/>
      </patternFill>
    </fill>
    <fill>
      <patternFill patternType="solid">
        <fgColor theme="0" tint="-0.14999847407452621"/>
        <bgColor indexed="23"/>
      </patternFill>
    </fill>
    <fill>
      <patternFill patternType="solid">
        <fgColor theme="9" tint="0.79998168889431442"/>
        <bgColor indexed="64"/>
      </patternFill>
    </fill>
    <fill>
      <patternFill patternType="solid">
        <fgColor theme="9" tint="0.79998168889431442"/>
        <bgColor indexed="22"/>
      </patternFill>
    </fill>
    <fill>
      <patternFill patternType="solid">
        <fgColor theme="0" tint="-4.9989318521683403E-2"/>
        <bgColor indexed="64"/>
      </patternFill>
    </fill>
    <fill>
      <patternFill patternType="solid">
        <fgColor rgb="FFFFFF00"/>
        <bgColor indexed="40"/>
      </patternFill>
    </fill>
    <fill>
      <patternFill patternType="solid">
        <fgColor rgb="FFFF0000"/>
        <bgColor indexed="64"/>
      </patternFill>
    </fill>
    <fill>
      <patternFill patternType="solid">
        <fgColor rgb="FFFFFF00"/>
        <bgColor indexed="64"/>
      </patternFill>
    </fill>
    <fill>
      <patternFill patternType="solid">
        <fgColor rgb="FFFFFF00"/>
        <bgColor indexed="22"/>
      </patternFill>
    </fill>
    <fill>
      <patternFill patternType="solid">
        <fgColor rgb="FFFF0000"/>
        <bgColor indexed="22"/>
      </patternFill>
    </fill>
    <fill>
      <patternFill patternType="solid">
        <fgColor theme="5" tint="0.79998168889431442"/>
        <bgColor indexed="64"/>
      </patternFill>
    </fill>
    <fill>
      <patternFill patternType="solid">
        <fgColor theme="5" tint="0.59999389629810485"/>
        <bgColor indexed="64"/>
      </patternFill>
    </fill>
    <fill>
      <patternFill patternType="solid">
        <fgColor rgb="FF00B0F0"/>
        <bgColor indexed="64"/>
      </patternFill>
    </fill>
    <fill>
      <patternFill patternType="solid">
        <fgColor theme="4" tint="0.59999389629810485"/>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diagonal/>
    </border>
    <border>
      <left/>
      <right style="thin">
        <color indexed="8"/>
      </right>
      <top/>
      <bottom/>
      <diagonal/>
    </border>
    <border>
      <left style="thin">
        <color indexed="8"/>
      </left>
      <right style="thin">
        <color indexed="8"/>
      </right>
      <top/>
      <bottom/>
      <diagonal/>
    </border>
    <border>
      <left style="thin">
        <color indexed="8"/>
      </left>
      <right/>
      <top/>
      <bottom/>
      <diagonal/>
    </border>
    <border>
      <left style="thin">
        <color indexed="8"/>
      </left>
      <right style="thin">
        <color indexed="8"/>
      </right>
      <top/>
      <bottom style="thin">
        <color indexed="8"/>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4">
    <xf numFmtId="0" fontId="0" fillId="0" borderId="0"/>
    <xf numFmtId="9" fontId="1" fillId="0" borderId="0" applyFont="0" applyFill="0" applyBorder="0" applyAlignment="0" applyProtection="0"/>
    <xf numFmtId="0" fontId="4" fillId="0" borderId="0"/>
    <xf numFmtId="0" fontId="24" fillId="0" borderId="0" applyNumberFormat="0" applyFill="0" applyBorder="0" applyAlignment="0" applyProtection="0"/>
  </cellStyleXfs>
  <cellXfs count="217">
    <xf numFmtId="0" fontId="0" fillId="0" borderId="0" xfId="0"/>
    <xf numFmtId="0" fontId="2" fillId="0" borderId="0" xfId="0" applyFont="1" applyAlignment="1">
      <alignment horizontal="left" vertical="center"/>
    </xf>
    <xf numFmtId="0" fontId="2" fillId="0" borderId="0" xfId="0" applyFont="1" applyAlignment="1">
      <alignment horizontal="left" vertical="center" wrapText="1"/>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xf numFmtId="0" fontId="5" fillId="0" borderId="1" xfId="2" applyFont="1" applyBorder="1" applyAlignment="1">
      <alignment horizontal="right" vertical="top" wrapText="1"/>
    </xf>
    <xf numFmtId="0" fontId="6" fillId="0" borderId="1" xfId="2" applyFont="1" applyBorder="1" applyAlignment="1">
      <alignment horizontal="left" wrapText="1"/>
    </xf>
    <xf numFmtId="0" fontId="7" fillId="0" borderId="0" xfId="2" applyFont="1" applyAlignment="1">
      <alignment horizontal="center" wrapText="1"/>
    </xf>
    <xf numFmtId="0" fontId="8" fillId="0" borderId="0" xfId="0" applyFont="1" applyAlignment="1">
      <alignment horizontal="center" vertical="center"/>
    </xf>
    <xf numFmtId="0" fontId="7" fillId="0" borderId="0" xfId="2" applyFont="1" applyAlignment="1">
      <alignment horizontal="centerContinuous" wrapText="1"/>
    </xf>
    <xf numFmtId="0" fontId="7" fillId="0" borderId="4" xfId="2" applyFont="1" applyBorder="1" applyAlignment="1">
      <alignment horizontal="centerContinuous" wrapText="1"/>
    </xf>
    <xf numFmtId="0" fontId="7" fillId="0" borderId="5" xfId="2" applyFont="1" applyBorder="1" applyAlignment="1">
      <alignment horizontal="centerContinuous" wrapText="1"/>
    </xf>
    <xf numFmtId="0" fontId="9" fillId="0" borderId="0" xfId="0" applyFont="1" applyAlignment="1">
      <alignment horizontal="center" vertical="center"/>
    </xf>
    <xf numFmtId="0" fontId="7" fillId="0" borderId="6" xfId="2" applyFont="1" applyBorder="1" applyAlignment="1">
      <alignment horizontal="center" wrapText="1"/>
    </xf>
    <xf numFmtId="0" fontId="7" fillId="0" borderId="7" xfId="2" applyFont="1" applyBorder="1" applyAlignment="1">
      <alignment horizontal="center" wrapText="1"/>
    </xf>
    <xf numFmtId="0" fontId="10" fillId="0" borderId="0" xfId="0" applyFont="1" applyAlignment="1">
      <alignment horizontal="left" vertical="center"/>
    </xf>
    <xf numFmtId="0" fontId="6" fillId="0" borderId="1" xfId="2" applyFont="1" applyBorder="1" applyAlignment="1" applyProtection="1">
      <alignment horizontal="left" wrapText="1"/>
      <protection locked="0"/>
    </xf>
    <xf numFmtId="0" fontId="5" fillId="0" borderId="0" xfId="2" applyFont="1" applyAlignment="1">
      <alignment horizontal="right" vertical="top" wrapText="1"/>
    </xf>
    <xf numFmtId="0" fontId="6" fillId="0" borderId="0" xfId="2" applyFont="1" applyAlignment="1" applyProtection="1">
      <alignment horizontal="left" wrapText="1"/>
      <protection locked="0"/>
    </xf>
    <xf numFmtId="0" fontId="11" fillId="0" borderId="0" xfId="2" applyFont="1" applyAlignment="1">
      <alignment horizontal="left" vertical="top" wrapText="1"/>
    </xf>
    <xf numFmtId="0" fontId="10" fillId="0" borderId="0" xfId="0" applyFont="1" applyAlignment="1">
      <alignment horizontal="center" vertical="center"/>
    </xf>
    <xf numFmtId="0" fontId="3" fillId="0" borderId="8" xfId="0" applyFont="1" applyBorder="1" applyAlignment="1">
      <alignment horizontal="left" vertical="center" wrapText="1"/>
    </xf>
    <xf numFmtId="0" fontId="3" fillId="0" borderId="0" xfId="0" applyFont="1" applyAlignment="1">
      <alignment horizontal="left" vertical="center" wrapText="1"/>
    </xf>
    <xf numFmtId="0" fontId="10" fillId="2" borderId="1" xfId="0" applyFont="1" applyFill="1" applyBorder="1" applyAlignment="1">
      <alignment vertical="top" wrapText="1"/>
    </xf>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0" fillId="4" borderId="12" xfId="0" applyFont="1" applyFill="1" applyBorder="1" applyAlignment="1">
      <alignment horizontal="center" vertical="center" wrapText="1"/>
    </xf>
    <xf numFmtId="0" fontId="10" fillId="5" borderId="13" xfId="0" applyFont="1" applyFill="1" applyBorder="1" applyAlignment="1">
      <alignment horizontal="left" vertical="center" wrapText="1"/>
    </xf>
    <xf numFmtId="0" fontId="10" fillId="5" borderId="13" xfId="0" applyFont="1" applyFill="1" applyBorder="1" applyAlignment="1">
      <alignment horizontal="left" vertical="center"/>
    </xf>
    <xf numFmtId="0" fontId="10" fillId="6" borderId="14" xfId="0" applyFont="1" applyFill="1" applyBorder="1" applyAlignment="1">
      <alignment horizontal="center" vertical="center" wrapText="1"/>
    </xf>
    <xf numFmtId="0" fontId="10" fillId="2" borderId="15" xfId="0" applyFont="1" applyFill="1" applyBorder="1" applyAlignment="1">
      <alignment horizontal="center" vertical="center" wrapText="1"/>
    </xf>
    <xf numFmtId="0" fontId="10" fillId="3" borderId="15" xfId="0" applyFont="1" applyFill="1" applyBorder="1" applyAlignment="1">
      <alignment horizontal="center" vertical="center" wrapText="1"/>
    </xf>
    <xf numFmtId="0" fontId="10" fillId="3" borderId="16" xfId="0" applyFont="1" applyFill="1" applyBorder="1" applyAlignment="1">
      <alignment horizontal="center" vertical="center" wrapText="1"/>
    </xf>
    <xf numFmtId="0" fontId="11" fillId="0" borderId="1" xfId="0" applyFont="1" applyBorder="1" applyAlignment="1">
      <alignment horizontal="left" vertical="top" wrapText="1"/>
    </xf>
    <xf numFmtId="164" fontId="3" fillId="7" borderId="1" xfId="0" applyNumberFormat="1" applyFont="1" applyFill="1" applyBorder="1" applyAlignment="1">
      <alignment horizontal="center" vertical="center" wrapText="1"/>
    </xf>
    <xf numFmtId="10" fontId="14" fillId="0" borderId="1" xfId="0" applyNumberFormat="1" applyFont="1" applyBorder="1" applyAlignment="1">
      <alignment horizontal="center" vertical="center" wrapText="1"/>
    </xf>
    <xf numFmtId="10" fontId="15" fillId="0" borderId="1" xfId="0" applyNumberFormat="1" applyFont="1" applyBorder="1" applyAlignment="1">
      <alignment horizontal="center" vertical="center" wrapText="1"/>
    </xf>
    <xf numFmtId="10" fontId="14" fillId="0" borderId="9" xfId="0" applyNumberFormat="1" applyFont="1" applyBorder="1" applyAlignment="1">
      <alignment horizontal="center" vertical="center" wrapText="1"/>
    </xf>
    <xf numFmtId="0" fontId="11" fillId="0" borderId="1" xfId="0" applyFont="1" applyBorder="1" applyAlignment="1">
      <alignment vertical="top" wrapText="1"/>
    </xf>
    <xf numFmtId="0" fontId="3" fillId="9" borderId="1" xfId="0" applyFont="1" applyFill="1" applyBorder="1" applyAlignment="1">
      <alignment horizontal="center" vertical="center"/>
    </xf>
    <xf numFmtId="0" fontId="3" fillId="9" borderId="1" xfId="0" applyFont="1" applyFill="1" applyBorder="1" applyAlignment="1">
      <alignment horizontal="center" vertical="center" wrapText="1"/>
    </xf>
    <xf numFmtId="0" fontId="3" fillId="9" borderId="9" xfId="0" applyFont="1" applyFill="1" applyBorder="1" applyAlignment="1">
      <alignment horizontal="center" vertical="center"/>
    </xf>
    <xf numFmtId="0" fontId="3" fillId="0" borderId="1" xfId="0" applyFont="1" applyBorder="1"/>
    <xf numFmtId="0" fontId="10" fillId="0" borderId="0" xfId="0" applyFont="1" applyAlignment="1">
      <alignment horizontal="center" vertical="center" wrapText="1"/>
    </xf>
    <xf numFmtId="164" fontId="16" fillId="0" borderId="17" xfId="0" applyNumberFormat="1" applyFont="1" applyBorder="1" applyAlignment="1">
      <alignment horizontal="center" vertical="center"/>
    </xf>
    <xf numFmtId="9" fontId="1" fillId="0" borderId="17" xfId="1" applyBorder="1" applyAlignment="1" applyProtection="1">
      <alignment horizontal="center" vertical="center"/>
    </xf>
    <xf numFmtId="10" fontId="16" fillId="0" borderId="0" xfId="0" applyNumberFormat="1" applyFont="1" applyAlignment="1">
      <alignment horizontal="center" vertical="center" wrapText="1"/>
    </xf>
    <xf numFmtId="9" fontId="10" fillId="0" borderId="0" xfId="0" applyNumberFormat="1" applyFont="1" applyAlignment="1">
      <alignment horizontal="center" vertical="center"/>
    </xf>
    <xf numFmtId="10" fontId="16" fillId="0" borderId="17" xfId="0" applyNumberFormat="1" applyFont="1" applyBorder="1" applyAlignment="1">
      <alignment horizontal="center" vertical="center"/>
    </xf>
    <xf numFmtId="0" fontId="3" fillId="0" borderId="0" xfId="0" applyFont="1" applyAlignment="1">
      <alignment horizontal="left" vertical="center"/>
    </xf>
    <xf numFmtId="0" fontId="6" fillId="0" borderId="0" xfId="2" applyFont="1" applyAlignment="1">
      <alignment horizontal="left" wrapText="1"/>
    </xf>
    <xf numFmtId="0" fontId="3" fillId="0" borderId="1" xfId="0" applyFont="1" applyBorder="1" applyAlignment="1">
      <alignment horizontal="center" vertical="center" wrapText="1"/>
    </xf>
    <xf numFmtId="9" fontId="3" fillId="8" borderId="1" xfId="0" applyNumberFormat="1" applyFont="1" applyFill="1" applyBorder="1" applyAlignment="1">
      <alignment horizontal="center" vertical="center" wrapText="1"/>
    </xf>
    <xf numFmtId="0" fontId="3" fillId="0" borderId="9" xfId="0" applyFont="1" applyBorder="1" applyAlignment="1">
      <alignment horizontal="center" vertical="center" wrapText="1"/>
    </xf>
    <xf numFmtId="0" fontId="20" fillId="0" borderId="1" xfId="0" applyFont="1" applyBorder="1" applyAlignment="1">
      <alignment vertical="top" wrapText="1"/>
    </xf>
    <xf numFmtId="0" fontId="3" fillId="0" borderId="0" xfId="0" applyFont="1" applyAlignment="1">
      <alignment vertical="center" wrapText="1"/>
    </xf>
    <xf numFmtId="0" fontId="20" fillId="0" borderId="1" xfId="0" applyFont="1" applyBorder="1" applyAlignment="1">
      <alignment horizontal="center" vertical="center" wrapText="1"/>
    </xf>
    <xf numFmtId="0" fontId="3" fillId="0" borderId="0" xfId="0" applyFont="1" applyAlignment="1">
      <alignment vertical="center"/>
    </xf>
    <xf numFmtId="0" fontId="3" fillId="0" borderId="18" xfId="0" applyFont="1" applyBorder="1" applyAlignment="1">
      <alignment vertical="center" wrapText="1"/>
    </xf>
    <xf numFmtId="0" fontId="5" fillId="0" borderId="1" xfId="2" applyFont="1" applyBorder="1" applyAlignment="1">
      <alignment horizontal="right" vertical="center" wrapText="1"/>
    </xf>
    <xf numFmtId="0" fontId="7" fillId="0" borderId="0" xfId="2" applyFont="1" applyAlignment="1">
      <alignment horizontal="center" vertical="center" wrapText="1"/>
    </xf>
    <xf numFmtId="0" fontId="7" fillId="0" borderId="0" xfId="2" applyFont="1" applyAlignment="1">
      <alignment horizontal="centerContinuous" vertical="center" wrapText="1"/>
    </xf>
    <xf numFmtId="0" fontId="5" fillId="0" borderId="0" xfId="2" applyFont="1" applyAlignment="1">
      <alignment horizontal="right" vertical="center" wrapText="1"/>
    </xf>
    <xf numFmtId="0" fontId="11" fillId="0" borderId="0" xfId="2" applyFont="1" applyAlignment="1">
      <alignment horizontal="left" vertical="center" wrapText="1"/>
    </xf>
    <xf numFmtId="0" fontId="18" fillId="0" borderId="1" xfId="0" applyFont="1" applyBorder="1" applyAlignment="1">
      <alignment horizontal="left" vertical="center" wrapText="1"/>
    </xf>
    <xf numFmtId="0" fontId="19" fillId="0" borderId="1" xfId="0" applyFont="1" applyBorder="1" applyAlignment="1">
      <alignment horizontal="left" vertical="center" wrapText="1"/>
    </xf>
    <xf numFmtId="0" fontId="7" fillId="0" borderId="4" xfId="2" applyFont="1" applyBorder="1" applyAlignment="1">
      <alignment horizontal="centerContinuous" vertical="center" wrapText="1"/>
    </xf>
    <xf numFmtId="0" fontId="7" fillId="0" borderId="5" xfId="2" applyFont="1" applyBorder="1" applyAlignment="1">
      <alignment horizontal="centerContinuous" vertical="center" wrapText="1"/>
    </xf>
    <xf numFmtId="0" fontId="7" fillId="0" borderId="6" xfId="2" applyFont="1" applyBorder="1" applyAlignment="1">
      <alignment horizontal="center" vertical="center" wrapText="1"/>
    </xf>
    <xf numFmtId="0" fontId="7" fillId="0" borderId="7" xfId="2" applyFont="1" applyBorder="1" applyAlignment="1">
      <alignment horizontal="center" vertical="center" wrapText="1"/>
    </xf>
    <xf numFmtId="0" fontId="3" fillId="0" borderId="1" xfId="0" applyFont="1" applyBorder="1" applyAlignment="1">
      <alignment vertical="center"/>
    </xf>
    <xf numFmtId="0" fontId="3" fillId="0" borderId="18" xfId="0" applyFont="1" applyBorder="1" applyAlignment="1">
      <alignment horizontal="center" vertical="center"/>
    </xf>
    <xf numFmtId="0" fontId="3" fillId="12" borderId="1" xfId="0" applyFont="1" applyFill="1" applyBorder="1" applyAlignment="1">
      <alignment horizontal="center" vertical="center" wrapText="1"/>
    </xf>
    <xf numFmtId="0" fontId="3" fillId="0" borderId="18" xfId="0" applyFont="1" applyBorder="1" applyAlignment="1">
      <alignment horizontal="center" vertical="center" wrapText="1"/>
    </xf>
    <xf numFmtId="0" fontId="3" fillId="0" borderId="18" xfId="0" applyFont="1" applyBorder="1" applyAlignment="1">
      <alignment horizontal="left" vertical="center" wrapText="1"/>
    </xf>
    <xf numFmtId="0" fontId="10" fillId="0" borderId="18" xfId="0" applyFont="1" applyBorder="1" applyAlignment="1">
      <alignment horizontal="center" vertical="center"/>
    </xf>
    <xf numFmtId="0" fontId="10" fillId="2" borderId="18" xfId="0" applyFont="1" applyFill="1" applyBorder="1" applyAlignment="1">
      <alignment vertical="top" wrapText="1"/>
    </xf>
    <xf numFmtId="0" fontId="10" fillId="2" borderId="18" xfId="0" applyFont="1" applyFill="1" applyBorder="1" applyAlignment="1">
      <alignment vertical="center" wrapText="1"/>
    </xf>
    <xf numFmtId="0" fontId="10" fillId="2" borderId="18" xfId="0" applyFont="1" applyFill="1" applyBorder="1" applyAlignment="1">
      <alignment vertical="center"/>
    </xf>
    <xf numFmtId="0" fontId="10" fillId="3" borderId="18" xfId="0" applyFont="1" applyFill="1" applyBorder="1" applyAlignment="1">
      <alignment horizontal="center" vertical="center" wrapText="1"/>
    </xf>
    <xf numFmtId="0" fontId="10" fillId="4" borderId="18" xfId="0" applyFont="1" applyFill="1" applyBorder="1" applyAlignment="1">
      <alignment horizontal="center" vertical="center" wrapText="1"/>
    </xf>
    <xf numFmtId="0" fontId="10" fillId="5" borderId="18" xfId="0" applyFont="1" applyFill="1" applyBorder="1" applyAlignment="1">
      <alignment horizontal="left" vertical="center" wrapText="1"/>
    </xf>
    <xf numFmtId="0" fontId="10" fillId="5" borderId="18" xfId="0" applyFont="1" applyFill="1" applyBorder="1" applyAlignment="1">
      <alignment horizontal="left" vertical="center"/>
    </xf>
    <xf numFmtId="0" fontId="10" fillId="6" borderId="18" xfId="0" applyFont="1" applyFill="1" applyBorder="1" applyAlignment="1">
      <alignment horizontal="center" vertical="center" wrapText="1"/>
    </xf>
    <xf numFmtId="0" fontId="10" fillId="2" borderId="18" xfId="0" applyFont="1" applyFill="1" applyBorder="1" applyAlignment="1">
      <alignment horizontal="center" vertical="center" wrapText="1"/>
    </xf>
    <xf numFmtId="0" fontId="11" fillId="0" borderId="18" xfId="0" applyFont="1" applyBorder="1" applyAlignment="1">
      <alignment vertical="top"/>
    </xf>
    <xf numFmtId="0" fontId="11" fillId="0" borderId="18" xfId="0" applyFont="1" applyBorder="1" applyAlignment="1">
      <alignment horizontal="left" vertical="top" wrapText="1"/>
    </xf>
    <xf numFmtId="0" fontId="11" fillId="0" borderId="18" xfId="0" applyFont="1" applyBorder="1" applyAlignment="1">
      <alignment horizontal="center" vertical="center"/>
    </xf>
    <xf numFmtId="164" fontId="3" fillId="7" borderId="18" xfId="0" applyNumberFormat="1" applyFont="1" applyFill="1" applyBorder="1" applyAlignment="1">
      <alignment horizontal="center" vertical="center" wrapText="1"/>
    </xf>
    <xf numFmtId="10" fontId="14" fillId="0" borderId="18" xfId="0" applyNumberFormat="1" applyFont="1" applyBorder="1" applyAlignment="1">
      <alignment horizontal="center" vertical="center" wrapText="1"/>
    </xf>
    <xf numFmtId="10" fontId="15" fillId="0" borderId="18" xfId="0" applyNumberFormat="1" applyFont="1" applyBorder="1" applyAlignment="1">
      <alignment horizontal="center" vertical="center" wrapText="1"/>
    </xf>
    <xf numFmtId="9" fontId="3" fillId="8" borderId="18" xfId="0" applyNumberFormat="1" applyFont="1" applyFill="1" applyBorder="1" applyAlignment="1" applyProtection="1">
      <alignment horizontal="center" vertical="center" wrapText="1"/>
      <protection locked="0"/>
    </xf>
    <xf numFmtId="0" fontId="3" fillId="0" borderId="18" xfId="0" applyFont="1" applyBorder="1" applyProtection="1">
      <protection locked="0"/>
    </xf>
    <xf numFmtId="0" fontId="3" fillId="0" borderId="18" xfId="0" quotePrefix="1" applyFont="1" applyBorder="1" applyAlignment="1">
      <alignment horizontal="center" vertical="center" wrapText="1"/>
    </xf>
    <xf numFmtId="0" fontId="11" fillId="0" borderId="18" xfId="0" applyFont="1" applyBorder="1" applyAlignment="1">
      <alignment vertical="top" wrapText="1"/>
    </xf>
    <xf numFmtId="0" fontId="15" fillId="0" borderId="18" xfId="0" applyFont="1" applyBorder="1" applyAlignment="1">
      <alignment horizontal="left" vertical="top" wrapText="1"/>
    </xf>
    <xf numFmtId="0" fontId="3" fillId="12" borderId="18" xfId="0" applyFont="1" applyFill="1" applyBorder="1" applyAlignment="1">
      <alignment vertical="center" wrapText="1"/>
    </xf>
    <xf numFmtId="0" fontId="3" fillId="12" borderId="9" xfId="0" applyFont="1" applyFill="1" applyBorder="1" applyAlignment="1">
      <alignment horizontal="center" vertical="center" wrapText="1"/>
    </xf>
    <xf numFmtId="164" fontId="3" fillId="12" borderId="1" xfId="0" applyNumberFormat="1" applyFont="1" applyFill="1" applyBorder="1" applyAlignment="1">
      <alignment horizontal="center" vertical="center" wrapText="1"/>
    </xf>
    <xf numFmtId="10" fontId="14" fillId="12" borderId="1" xfId="0" applyNumberFormat="1" applyFont="1" applyFill="1" applyBorder="1" applyAlignment="1">
      <alignment horizontal="center" vertical="center" wrapText="1"/>
    </xf>
    <xf numFmtId="10" fontId="15" fillId="12" borderId="1" xfId="0" applyNumberFormat="1" applyFont="1" applyFill="1" applyBorder="1" applyAlignment="1">
      <alignment horizontal="center" vertical="center" wrapText="1"/>
    </xf>
    <xf numFmtId="9" fontId="3" fillId="13" borderId="1" xfId="0" applyNumberFormat="1" applyFont="1" applyFill="1" applyBorder="1" applyAlignment="1">
      <alignment horizontal="center" vertical="center" wrapText="1"/>
    </xf>
    <xf numFmtId="10" fontId="14" fillId="12" borderId="9" xfId="0" applyNumberFormat="1" applyFont="1" applyFill="1" applyBorder="1" applyAlignment="1">
      <alignment horizontal="center" vertical="center" wrapText="1"/>
    </xf>
    <xf numFmtId="0" fontId="3" fillId="12" borderId="1" xfId="0" applyFont="1" applyFill="1" applyBorder="1" applyAlignment="1">
      <alignment vertical="center"/>
    </xf>
    <xf numFmtId="0" fontId="3" fillId="12" borderId="0" xfId="0" applyFont="1" applyFill="1" applyAlignment="1">
      <alignment vertical="center"/>
    </xf>
    <xf numFmtId="0" fontId="3" fillId="12" borderId="0" xfId="0" applyFont="1" applyFill="1" applyAlignment="1">
      <alignment horizontal="center" vertical="center" wrapText="1"/>
    </xf>
    <xf numFmtId="0" fontId="3" fillId="11" borderId="0" xfId="0" applyFont="1" applyFill="1" applyAlignment="1">
      <alignment vertical="center"/>
    </xf>
    <xf numFmtId="0" fontId="11" fillId="12" borderId="18" xfId="0" applyFont="1" applyFill="1" applyBorder="1" applyAlignment="1">
      <alignment vertical="center" wrapText="1"/>
    </xf>
    <xf numFmtId="0" fontId="3" fillId="12" borderId="0" xfId="0" applyFont="1" applyFill="1" applyAlignment="1">
      <alignment vertical="center" wrapText="1"/>
    </xf>
    <xf numFmtId="0" fontId="10" fillId="15" borderId="0" xfId="0" applyFont="1" applyFill="1" applyAlignment="1">
      <alignment horizontal="center" vertical="center"/>
    </xf>
    <xf numFmtId="0" fontId="10" fillId="15" borderId="1" xfId="0" applyFont="1" applyFill="1" applyBorder="1" applyAlignment="1">
      <alignment horizontal="center" vertical="center" wrapText="1"/>
    </xf>
    <xf numFmtId="0" fontId="10" fillId="15" borderId="18" xfId="0" applyFont="1" applyFill="1" applyBorder="1" applyAlignment="1">
      <alignment horizontal="center" vertical="center" wrapText="1"/>
    </xf>
    <xf numFmtId="0" fontId="10" fillId="15" borderId="12" xfId="0" applyFont="1" applyFill="1" applyBorder="1" applyAlignment="1">
      <alignment horizontal="center" vertical="center" wrapText="1"/>
    </xf>
    <xf numFmtId="0" fontId="10" fillId="15" borderId="14" xfId="0" applyFont="1" applyFill="1" applyBorder="1" applyAlignment="1">
      <alignment horizontal="center" vertical="center" wrapText="1"/>
    </xf>
    <xf numFmtId="0" fontId="10" fillId="15" borderId="15" xfId="0" applyFont="1" applyFill="1" applyBorder="1" applyAlignment="1">
      <alignment horizontal="center" vertical="center" wrapText="1"/>
    </xf>
    <xf numFmtId="0" fontId="10" fillId="15" borderId="16" xfId="0" applyFont="1" applyFill="1" applyBorder="1" applyAlignment="1">
      <alignment horizontal="center" vertical="center" wrapText="1"/>
    </xf>
    <xf numFmtId="0" fontId="3" fillId="15" borderId="8" xfId="0" applyFont="1" applyFill="1" applyBorder="1" applyAlignment="1">
      <alignment horizontal="center" vertical="center" wrapText="1"/>
    </xf>
    <xf numFmtId="0" fontId="3" fillId="15" borderId="0" xfId="0" applyFont="1" applyFill="1" applyAlignment="1">
      <alignment horizontal="center" vertical="center" wrapText="1"/>
    </xf>
    <xf numFmtId="0" fontId="10" fillId="15" borderId="1" xfId="0" applyFont="1" applyFill="1" applyBorder="1" applyAlignment="1">
      <alignment horizontal="center" vertical="center"/>
    </xf>
    <xf numFmtId="0" fontId="10" fillId="15" borderId="13" xfId="0" applyFont="1" applyFill="1" applyBorder="1" applyAlignment="1">
      <alignment horizontal="center" vertical="center" wrapText="1"/>
    </xf>
    <xf numFmtId="0" fontId="26" fillId="0" borderId="9" xfId="0" applyFont="1" applyBorder="1" applyAlignment="1">
      <alignment horizontal="center" vertical="center" wrapText="1"/>
    </xf>
    <xf numFmtId="0" fontId="6" fillId="0" borderId="1" xfId="2" applyFont="1" applyBorder="1" applyAlignment="1">
      <alignment horizontal="center" vertical="center" wrapText="1"/>
    </xf>
    <xf numFmtId="0" fontId="6" fillId="0" borderId="0" xfId="2" applyFont="1" applyAlignment="1">
      <alignment horizontal="center" vertical="center" wrapText="1"/>
    </xf>
    <xf numFmtId="0" fontId="11" fillId="0" borderId="0" xfId="2" applyFont="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8" fillId="12" borderId="1" xfId="0" applyFont="1" applyFill="1" applyBorder="1" applyAlignment="1">
      <alignment horizontal="center" vertical="center" wrapText="1"/>
    </xf>
    <xf numFmtId="0" fontId="19" fillId="12" borderId="1" xfId="0" applyFont="1" applyFill="1" applyBorder="1" applyAlignment="1">
      <alignment horizontal="center" vertical="center" wrapText="1"/>
    </xf>
    <xf numFmtId="0" fontId="19" fillId="11" borderId="1" xfId="0" applyFont="1" applyFill="1" applyBorder="1" applyAlignment="1">
      <alignment horizontal="center" vertical="center" wrapText="1"/>
    </xf>
    <xf numFmtId="0" fontId="19" fillId="0" borderId="1" xfId="0" applyFont="1" applyBorder="1" applyAlignment="1">
      <alignment horizontal="center" vertical="center" wrapText="1"/>
    </xf>
    <xf numFmtId="0" fontId="27" fillId="11" borderId="0" xfId="0" applyFont="1" applyFill="1" applyAlignment="1">
      <alignment horizontal="center" vertical="center" wrapText="1"/>
    </xf>
    <xf numFmtId="0" fontId="29" fillId="11" borderId="1" xfId="0" applyFont="1" applyFill="1" applyBorder="1" applyAlignment="1">
      <alignment horizontal="center" vertical="center" wrapText="1"/>
    </xf>
    <xf numFmtId="0" fontId="27" fillId="11" borderId="1" xfId="0" applyFont="1" applyFill="1" applyBorder="1" applyAlignment="1">
      <alignment horizontal="center" vertical="center" wrapText="1"/>
    </xf>
    <xf numFmtId="164" fontId="27" fillId="11" borderId="1" xfId="0" applyNumberFormat="1" applyFont="1" applyFill="1" applyBorder="1" applyAlignment="1">
      <alignment horizontal="center" vertical="center" wrapText="1"/>
    </xf>
    <xf numFmtId="10" fontId="30" fillId="11" borderId="1" xfId="0" applyNumberFormat="1" applyFont="1" applyFill="1" applyBorder="1" applyAlignment="1">
      <alignment horizontal="center" vertical="center" wrapText="1"/>
    </xf>
    <xf numFmtId="10" fontId="31" fillId="11" borderId="1" xfId="0" applyNumberFormat="1" applyFont="1" applyFill="1" applyBorder="1" applyAlignment="1">
      <alignment horizontal="center" vertical="center" wrapText="1"/>
    </xf>
    <xf numFmtId="9" fontId="27" fillId="14" borderId="1" xfId="0" applyNumberFormat="1" applyFont="1" applyFill="1" applyBorder="1" applyAlignment="1">
      <alignment horizontal="center" vertical="center" wrapText="1"/>
    </xf>
    <xf numFmtId="10" fontId="30" fillId="11" borderId="9" xfId="0" applyNumberFormat="1" applyFont="1" applyFill="1" applyBorder="1" applyAlignment="1">
      <alignment horizontal="center" vertical="center" wrapText="1"/>
    </xf>
    <xf numFmtId="0" fontId="27" fillId="11" borderId="1" xfId="0" applyFont="1" applyFill="1" applyBorder="1" applyAlignment="1">
      <alignment vertical="center"/>
    </xf>
    <xf numFmtId="0" fontId="27" fillId="11" borderId="18" xfId="0" applyFont="1" applyFill="1" applyBorder="1" applyAlignment="1">
      <alignment vertical="center" wrapText="1"/>
    </xf>
    <xf numFmtId="0" fontId="27" fillId="11" borderId="18" xfId="0" applyFont="1" applyFill="1" applyBorder="1" applyAlignment="1">
      <alignment horizontal="center" vertical="center" wrapText="1"/>
    </xf>
    <xf numFmtId="0" fontId="17" fillId="0" borderId="1" xfId="0" applyFont="1" applyBorder="1" applyAlignment="1">
      <alignment horizontal="center" vertical="center"/>
    </xf>
    <xf numFmtId="0" fontId="17" fillId="12" borderId="1" xfId="0" applyFont="1" applyFill="1" applyBorder="1" applyAlignment="1">
      <alignment horizontal="center" vertical="center"/>
    </xf>
    <xf numFmtId="0" fontId="28" fillId="11" borderId="1" xfId="0" applyFont="1" applyFill="1" applyBorder="1" applyAlignment="1">
      <alignment horizontal="center" vertical="center"/>
    </xf>
    <xf numFmtId="0" fontId="10" fillId="11" borderId="9" xfId="0" applyFont="1" applyFill="1" applyBorder="1" applyAlignment="1">
      <alignment horizontal="center" vertical="center" wrapText="1"/>
    </xf>
    <xf numFmtId="0" fontId="2" fillId="0" borderId="0" xfId="0" applyFont="1" applyAlignment="1">
      <alignment horizontal="center" vertical="center" wrapText="1"/>
    </xf>
    <xf numFmtId="0" fontId="0" fillId="0" borderId="0" xfId="0" applyAlignment="1">
      <alignment wrapText="1"/>
    </xf>
    <xf numFmtId="0" fontId="32" fillId="0" borderId="1" xfId="0" applyFont="1" applyBorder="1" applyAlignment="1">
      <alignment horizontal="center" vertical="center"/>
    </xf>
    <xf numFmtId="0" fontId="33" fillId="0" borderId="1" xfId="0" applyFont="1" applyBorder="1" applyAlignment="1">
      <alignment horizontal="left" vertical="center" wrapText="1"/>
    </xf>
    <xf numFmtId="0" fontId="25" fillId="15" borderId="12" xfId="0" applyFont="1" applyFill="1" applyBorder="1" applyAlignment="1">
      <alignment horizontal="center" vertical="center" wrapText="1"/>
    </xf>
    <xf numFmtId="0" fontId="25" fillId="15" borderId="13" xfId="0" applyFont="1" applyFill="1" applyBorder="1" applyAlignment="1">
      <alignment horizontal="center" vertical="center" wrapText="1"/>
    </xf>
    <xf numFmtId="0" fontId="33" fillId="0" borderId="1" xfId="0" applyFont="1" applyBorder="1" applyAlignment="1">
      <alignment vertical="center" wrapText="1"/>
    </xf>
    <xf numFmtId="0" fontId="3" fillId="0" borderId="18" xfId="0" applyFont="1" applyBorder="1" applyAlignment="1">
      <alignment vertical="center"/>
    </xf>
    <xf numFmtId="0" fontId="26" fillId="0" borderId="18" xfId="0" applyFont="1" applyBorder="1" applyAlignment="1">
      <alignment horizontal="center" vertical="center" wrapText="1"/>
    </xf>
    <xf numFmtId="0" fontId="3" fillId="12" borderId="18" xfId="0" applyFont="1" applyFill="1" applyBorder="1" applyAlignment="1">
      <alignment horizontal="center" vertical="center" wrapText="1"/>
    </xf>
    <xf numFmtId="0" fontId="3" fillId="15" borderId="18" xfId="0" applyFont="1" applyFill="1" applyBorder="1" applyAlignment="1">
      <alignment horizontal="center" vertical="center"/>
    </xf>
    <xf numFmtId="0" fontId="3" fillId="15" borderId="18" xfId="0" applyFont="1" applyFill="1" applyBorder="1" applyAlignment="1">
      <alignment horizontal="left" vertical="center" wrapText="1"/>
    </xf>
    <xf numFmtId="0" fontId="3" fillId="15" borderId="18" xfId="0" applyFont="1" applyFill="1" applyBorder="1" applyAlignment="1">
      <alignment horizontal="center" vertical="center" wrapText="1"/>
    </xf>
    <xf numFmtId="0" fontId="3" fillId="15" borderId="18" xfId="0" applyFont="1" applyFill="1" applyBorder="1" applyAlignment="1">
      <alignment vertical="center"/>
    </xf>
    <xf numFmtId="0" fontId="3" fillId="15" borderId="18" xfId="0" applyFont="1" applyFill="1" applyBorder="1" applyAlignment="1">
      <alignment vertical="center" wrapText="1"/>
    </xf>
    <xf numFmtId="0" fontId="36" fillId="0" borderId="18" xfId="0" applyFont="1" applyBorder="1" applyAlignment="1">
      <alignment horizontal="left" vertical="top" wrapText="1"/>
    </xf>
    <xf numFmtId="0" fontId="26" fillId="12" borderId="1" xfId="0" applyFont="1" applyFill="1" applyBorder="1" applyAlignment="1">
      <alignment horizontal="center" vertical="center" wrapText="1"/>
    </xf>
    <xf numFmtId="0" fontId="3" fillId="17" borderId="0" xfId="0" applyFont="1" applyFill="1"/>
    <xf numFmtId="0" fontId="3" fillId="16" borderId="0" xfId="0" applyFont="1" applyFill="1"/>
    <xf numFmtId="0" fontId="3" fillId="5" borderId="18" xfId="0" quotePrefix="1" applyFont="1" applyFill="1" applyBorder="1" applyAlignment="1">
      <alignment horizontal="center" vertical="center" wrapText="1"/>
    </xf>
    <xf numFmtId="0" fontId="11" fillId="5" borderId="18" xfId="0" applyFont="1" applyFill="1" applyBorder="1" applyAlignment="1">
      <alignment vertical="top" wrapText="1"/>
    </xf>
    <xf numFmtId="0" fontId="11" fillId="5" borderId="18" xfId="0" applyFont="1" applyFill="1" applyBorder="1" applyAlignment="1">
      <alignment horizontal="left" vertical="top" wrapText="1"/>
    </xf>
    <xf numFmtId="0" fontId="11" fillId="5" borderId="18" xfId="0" applyFont="1" applyFill="1" applyBorder="1" applyAlignment="1">
      <alignment horizontal="center" vertical="center"/>
    </xf>
    <xf numFmtId="164" fontId="3" fillId="5" borderId="18" xfId="0" applyNumberFormat="1" applyFont="1" applyFill="1" applyBorder="1" applyAlignment="1">
      <alignment horizontal="center" vertical="center" wrapText="1"/>
    </xf>
    <xf numFmtId="10" fontId="14" fillId="5" borderId="18" xfId="0" applyNumberFormat="1" applyFont="1" applyFill="1" applyBorder="1" applyAlignment="1">
      <alignment horizontal="center" vertical="center" wrapText="1"/>
    </xf>
    <xf numFmtId="10" fontId="15" fillId="5" borderId="18" xfId="0" applyNumberFormat="1" applyFont="1" applyFill="1" applyBorder="1" applyAlignment="1">
      <alignment horizontal="center" vertical="center" wrapText="1"/>
    </xf>
    <xf numFmtId="9" fontId="3" fillId="5" borderId="18" xfId="0" applyNumberFormat="1" applyFont="1" applyFill="1" applyBorder="1" applyAlignment="1" applyProtection="1">
      <alignment horizontal="center" vertical="center" wrapText="1"/>
      <protection locked="0"/>
    </xf>
    <xf numFmtId="0" fontId="3" fillId="5" borderId="18" xfId="0" applyFont="1" applyFill="1" applyBorder="1" applyProtection="1">
      <protection locked="0"/>
    </xf>
    <xf numFmtId="0" fontId="3" fillId="5" borderId="18" xfId="0" applyFont="1" applyFill="1" applyBorder="1" applyAlignment="1">
      <alignment vertical="center" wrapText="1"/>
    </xf>
    <xf numFmtId="0" fontId="3" fillId="5" borderId="0" xfId="0" applyFont="1" applyFill="1"/>
    <xf numFmtId="0" fontId="34" fillId="0" borderId="18" xfId="0" applyFont="1" applyBorder="1" applyAlignment="1">
      <alignment vertical="center" wrapText="1"/>
    </xf>
    <xf numFmtId="0" fontId="24" fillId="0" borderId="0" xfId="3" applyAlignment="1">
      <alignment vertical="center"/>
    </xf>
    <xf numFmtId="0" fontId="26" fillId="0" borderId="18" xfId="0" applyFont="1" applyBorder="1" applyAlignment="1">
      <alignment vertical="center" wrapText="1"/>
    </xf>
    <xf numFmtId="0" fontId="11" fillId="12" borderId="18" xfId="0" applyFont="1" applyFill="1" applyBorder="1" applyAlignment="1">
      <alignment vertical="top" wrapText="1"/>
    </xf>
    <xf numFmtId="0" fontId="11" fillId="12" borderId="18" xfId="0" applyFont="1" applyFill="1" applyBorder="1" applyAlignment="1">
      <alignment horizontal="left" vertical="top" wrapText="1"/>
    </xf>
    <xf numFmtId="0" fontId="11" fillId="12" borderId="18" xfId="0" applyFont="1" applyFill="1" applyBorder="1" applyAlignment="1">
      <alignment horizontal="center" vertical="center"/>
    </xf>
    <xf numFmtId="164" fontId="3" fillId="12" borderId="18" xfId="0" applyNumberFormat="1" applyFont="1" applyFill="1" applyBorder="1" applyAlignment="1">
      <alignment horizontal="center" vertical="center" wrapText="1"/>
    </xf>
    <xf numFmtId="10" fontId="14" fillId="12" borderId="18" xfId="0" applyNumberFormat="1" applyFont="1" applyFill="1" applyBorder="1" applyAlignment="1">
      <alignment horizontal="center" vertical="center" wrapText="1"/>
    </xf>
    <xf numFmtId="10" fontId="15" fillId="12" borderId="18" xfId="0" applyNumberFormat="1" applyFont="1" applyFill="1" applyBorder="1" applyAlignment="1">
      <alignment horizontal="center" vertical="center" wrapText="1"/>
    </xf>
    <xf numFmtId="9" fontId="3" fillId="13" borderId="18" xfId="0" applyNumberFormat="1" applyFont="1" applyFill="1" applyBorder="1" applyAlignment="1" applyProtection="1">
      <alignment horizontal="center" vertical="center" wrapText="1"/>
      <protection locked="0"/>
    </xf>
    <xf numFmtId="0" fontId="3" fillId="12" borderId="18" xfId="0" applyFont="1" applyFill="1" applyBorder="1" applyProtection="1">
      <protection locked="0"/>
    </xf>
    <xf numFmtId="0" fontId="3" fillId="12" borderId="0" xfId="0" applyFont="1" applyFill="1"/>
    <xf numFmtId="0" fontId="3" fillId="12" borderId="18" xfId="0" quotePrefix="1" applyFont="1" applyFill="1" applyBorder="1" applyAlignment="1">
      <alignment horizontal="center" vertical="center" wrapText="1"/>
    </xf>
    <xf numFmtId="0" fontId="3" fillId="18" borderId="0" xfId="0" applyFont="1" applyFill="1"/>
    <xf numFmtId="0" fontId="7" fillId="0" borderId="0" xfId="2" applyFont="1" applyAlignment="1">
      <alignment horizontal="center" wrapText="1"/>
    </xf>
    <xf numFmtId="0" fontId="7" fillId="0" borderId="2" xfId="2" applyFont="1" applyBorder="1" applyAlignment="1">
      <alignment horizontal="center" wrapText="1"/>
    </xf>
    <xf numFmtId="0" fontId="7" fillId="0" borderId="3" xfId="2" applyFont="1" applyBorder="1" applyAlignment="1">
      <alignment horizontal="center" wrapText="1"/>
    </xf>
    <xf numFmtId="0" fontId="7" fillId="0" borderId="4" xfId="2" applyFont="1" applyBorder="1" applyAlignment="1">
      <alignment horizontal="center" wrapText="1"/>
    </xf>
    <xf numFmtId="0" fontId="7" fillId="0" borderId="5" xfId="2" applyFont="1" applyBorder="1" applyAlignment="1">
      <alignment horizontal="center" wrapText="1"/>
    </xf>
    <xf numFmtId="0" fontId="11" fillId="0" borderId="1" xfId="2" applyFont="1" applyBorder="1" applyAlignment="1">
      <alignment horizontal="left" vertical="top" wrapText="1"/>
    </xf>
    <xf numFmtId="0" fontId="10" fillId="3" borderId="18" xfId="0" applyFont="1" applyFill="1" applyBorder="1" applyAlignment="1">
      <alignment horizontal="center" vertical="center" wrapText="1"/>
    </xf>
    <xf numFmtId="0" fontId="10" fillId="10" borderId="18" xfId="0" applyFont="1" applyFill="1" applyBorder="1" applyAlignment="1">
      <alignment horizontal="center" vertical="center" wrapText="1"/>
    </xf>
    <xf numFmtId="0" fontId="11" fillId="0" borderId="18" xfId="0" applyFont="1" applyBorder="1" applyAlignment="1">
      <alignment horizontal="left" vertical="top" wrapText="1"/>
    </xf>
    <xf numFmtId="0" fontId="10" fillId="10" borderId="19" xfId="0" applyFont="1" applyFill="1" applyBorder="1" applyAlignment="1">
      <alignment horizontal="center" vertical="center" wrapText="1"/>
    </xf>
    <xf numFmtId="0" fontId="10" fillId="10" borderId="20" xfId="0" applyFont="1" applyFill="1" applyBorder="1" applyAlignment="1">
      <alignment horizontal="center" vertical="center" wrapText="1"/>
    </xf>
    <xf numFmtId="0" fontId="7" fillId="0" borderId="0" xfId="2" applyFont="1" applyAlignment="1">
      <alignment horizontal="center" vertical="center" wrapText="1"/>
    </xf>
    <xf numFmtId="0" fontId="7" fillId="0" borderId="2" xfId="2" applyFont="1" applyBorder="1" applyAlignment="1">
      <alignment horizontal="center" vertical="center" wrapText="1"/>
    </xf>
    <xf numFmtId="0" fontId="7" fillId="0" borderId="3" xfId="2" applyFont="1" applyBorder="1" applyAlignment="1">
      <alignment horizontal="center" vertical="center" wrapText="1"/>
    </xf>
    <xf numFmtId="0" fontId="7" fillId="0" borderId="4" xfId="2" applyFont="1" applyBorder="1" applyAlignment="1">
      <alignment horizontal="center" vertical="center" wrapText="1"/>
    </xf>
    <xf numFmtId="0" fontId="7" fillId="0" borderId="5" xfId="2" applyFont="1" applyBorder="1" applyAlignment="1">
      <alignment horizontal="center" vertical="center" wrapText="1"/>
    </xf>
    <xf numFmtId="0" fontId="11" fillId="0" borderId="1" xfId="2" applyFont="1" applyBorder="1" applyAlignment="1">
      <alignment horizontal="left" vertical="center" wrapText="1"/>
    </xf>
    <xf numFmtId="0" fontId="10" fillId="15" borderId="9" xfId="0" applyFont="1" applyFill="1" applyBorder="1" applyAlignment="1">
      <alignment horizontal="center" vertical="center" wrapText="1"/>
    </xf>
    <xf numFmtId="0" fontId="10" fillId="15" borderId="10" xfId="0" applyFont="1" applyFill="1" applyBorder="1" applyAlignment="1">
      <alignment horizontal="center" vertical="center" wrapText="1"/>
    </xf>
    <xf numFmtId="0" fontId="10" fillId="15" borderId="11" xfId="0" applyFont="1" applyFill="1" applyBorder="1" applyAlignment="1">
      <alignment horizontal="center" vertical="center" wrapText="1"/>
    </xf>
    <xf numFmtId="0" fontId="10" fillId="15" borderId="1" xfId="0" applyFont="1" applyFill="1" applyBorder="1" applyAlignment="1">
      <alignment horizontal="center" vertical="center" wrapText="1"/>
    </xf>
    <xf numFmtId="0" fontId="25" fillId="15" borderId="18" xfId="0" applyFont="1" applyFill="1" applyBorder="1" applyAlignment="1">
      <alignment horizontal="center" vertical="center" wrapText="1"/>
    </xf>
    <xf numFmtId="0" fontId="10" fillId="15" borderId="18" xfId="0" applyFont="1" applyFill="1" applyBorder="1" applyAlignment="1">
      <alignment horizontal="center" vertical="center" wrapText="1"/>
    </xf>
    <xf numFmtId="0" fontId="10" fillId="3" borderId="9" xfId="0" applyFont="1" applyFill="1" applyBorder="1" applyAlignment="1">
      <alignment horizontal="center" vertical="center" wrapText="1"/>
    </xf>
    <xf numFmtId="0" fontId="10" fillId="3" borderId="10"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10" fillId="3" borderId="1" xfId="0" applyFont="1" applyFill="1" applyBorder="1" applyAlignment="1">
      <alignment horizontal="center" vertical="center" wrapText="1"/>
    </xf>
  </cellXfs>
  <cellStyles count="4">
    <cellStyle name="Hyperlink" xfId="3" builtinId="8"/>
    <cellStyle name="Normal" xfId="0" builtinId="0"/>
    <cellStyle name="Normal 2" xfId="2" xr:uid="{2E0FDCA1-875E-4978-ACCA-499FBA9858A1}"/>
    <cellStyle name="Percent" xfId="1"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619125</xdr:colOff>
      <xdr:row>0</xdr:row>
      <xdr:rowOff>0</xdr:rowOff>
    </xdr:from>
    <xdr:ext cx="0" cy="0"/>
    <xdr:pic>
      <xdr:nvPicPr>
        <xdr:cNvPr id="3" name="Picture 1">
          <a:extLst>
            <a:ext uri="{FF2B5EF4-FFF2-40B4-BE49-F238E27FC236}">
              <a16:creationId xmlns:a16="http://schemas.microsoft.com/office/drawing/2014/main" id="{952ED75B-B6CE-4069-A10A-ACEAA4A0162F}"/>
            </a:ext>
          </a:extLst>
        </xdr:cNvPr>
        <xdr:cNvPicPr>
          <a:picLocks noChangeAspect="1"/>
        </xdr:cNvPicPr>
      </xdr:nvPicPr>
      <xdr:blipFill>
        <a:blip xmlns:r="http://schemas.openxmlformats.org/officeDocument/2006/relationships" r:embed="rId1"/>
        <a:stretch>
          <a:fillRect/>
        </a:stretch>
      </xdr:blipFill>
      <xdr:spPr>
        <a:xfrm>
          <a:off x="2905125"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4</xdr:col>
      <xdr:colOff>152400</xdr:colOff>
      <xdr:row>0</xdr:row>
      <xdr:rowOff>0</xdr:rowOff>
    </xdr:from>
    <xdr:ext cx="0" cy="0"/>
    <xdr:pic>
      <xdr:nvPicPr>
        <xdr:cNvPr id="3" name="Picture 1">
          <a:extLst>
            <a:ext uri="{FF2B5EF4-FFF2-40B4-BE49-F238E27FC236}">
              <a16:creationId xmlns:a16="http://schemas.microsoft.com/office/drawing/2014/main" id="{9A06BEFC-32C2-40CF-94E4-443DC227ADC1}"/>
            </a:ext>
          </a:extLst>
        </xdr:cNvPr>
        <xdr:cNvPicPr>
          <a:picLocks noChangeAspect="1"/>
        </xdr:cNvPicPr>
      </xdr:nvPicPr>
      <xdr:blipFill>
        <a:blip xmlns:r="http://schemas.openxmlformats.org/officeDocument/2006/relationships" r:embed="rId1"/>
        <a:stretch>
          <a:fillRect/>
        </a:stretch>
      </xdr:blipFill>
      <xdr:spPr>
        <a:xfrm>
          <a:off x="590550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6</xdr:col>
      <xdr:colOff>937260</xdr:colOff>
      <xdr:row>0</xdr:row>
      <xdr:rowOff>152400</xdr:rowOff>
    </xdr:from>
    <xdr:ext cx="1352550" cy="447416"/>
    <xdr:pic>
      <xdr:nvPicPr>
        <xdr:cNvPr id="2" name="Picture 1">
          <a:extLst>
            <a:ext uri="{FF2B5EF4-FFF2-40B4-BE49-F238E27FC236}">
              <a16:creationId xmlns:a16="http://schemas.microsoft.com/office/drawing/2014/main" id="{62F4FE6D-254F-4CE9-B94E-DD8E43C4B267}"/>
            </a:ext>
          </a:extLst>
        </xdr:cNvPr>
        <xdr:cNvPicPr>
          <a:picLocks noChangeAspect="1"/>
        </xdr:cNvPicPr>
      </xdr:nvPicPr>
      <xdr:blipFill>
        <a:blip xmlns:r="http://schemas.openxmlformats.org/officeDocument/2006/relationships" r:embed="rId1"/>
        <a:stretch>
          <a:fillRect/>
        </a:stretch>
      </xdr:blipFill>
      <xdr:spPr>
        <a:xfrm>
          <a:off x="10278110" y="152400"/>
          <a:ext cx="1352550" cy="447416"/>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sudipta_saraswati_polarisgrids_com/Documents/Officialdocs/Tenders/SA%20Eskom/Docs%20submission/Demo%20points.xlsm" TargetMode="External"/><Relationship Id="rId2" Type="http://schemas.openxmlformats.org/officeDocument/2006/relationships/externalLinkPath" Target="https://polarisgrid-my.sharepoint.com/personal/sudipta_saraswati_polarisgrids_com/Documents/Officialdocs/Tenders/SA%20Eskom/Docs%20submission/Demo%20points.xlsm" TargetMode="External"/><Relationship Id="rId1" Type="http://schemas.openxmlformats.org/officeDocument/2006/relationships/externalLinkPath" Target="/personal/sudipta_saraswati_polarisgrids_com/Documents/Officialdocs/Tenders/SA%20Eskom/Docs%20submission/Demo%20point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EC Guidelines"/>
      <sheetName val="Response Guidelines"/>
      <sheetName val="Scoring Summary"/>
      <sheetName val="Gatekeepers"/>
      <sheetName val="Functional MDMS"/>
      <sheetName val="Technical evaluation"/>
      <sheetName val="Functional HES - DAS"/>
      <sheetName val="Functional SMOC"/>
      <sheetName val="Non Functional"/>
      <sheetName val="Architecture"/>
      <sheetName val="Security"/>
      <sheetName val="DEMO MDMS"/>
      <sheetName val="DEMO HES- DAS"/>
      <sheetName val="DEMO SMOC"/>
      <sheetName val="Definitions and Abbreviations"/>
      <sheetName val="TEC Resources"/>
      <sheetName val="Priority Ratings"/>
      <sheetName val="Config"/>
      <sheetName val="Concerns and Recommendations"/>
    </sheetNames>
    <sheetDataSet>
      <sheetData sheetId="0" refreshError="1"/>
      <sheetData sheetId="1" refreshError="1"/>
      <sheetData sheetId="2">
        <row r="2">
          <cell r="C2" t="str">
            <v>&lt;insert before tender publication&gt;</v>
          </cell>
        </row>
        <row r="3">
          <cell r="C3" t="str">
            <v>&lt;insert before tender publication&gt;</v>
          </cell>
        </row>
        <row r="4">
          <cell r="C4" t="str">
            <v>&lt;Evaluator to complete&gt;</v>
          </cell>
        </row>
        <row r="5">
          <cell r="C5" t="str">
            <v>&lt;Evaluator to complete&gt;</v>
          </cell>
        </row>
        <row r="6">
          <cell r="C6" t="str">
            <v>&lt;Evaluator to complete&gt;</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21">
          <cell r="B21">
            <v>0</v>
          </cell>
          <cell r="C21" t="str">
            <v>No interest</v>
          </cell>
        </row>
        <row r="22">
          <cell r="B22">
            <v>1</v>
          </cell>
          <cell r="C22" t="str">
            <v>Nice to have</v>
          </cell>
        </row>
        <row r="23">
          <cell r="B23">
            <v>2</v>
          </cell>
          <cell r="C23" t="str">
            <v>Useful</v>
          </cell>
        </row>
        <row r="24">
          <cell r="B24">
            <v>3</v>
          </cell>
          <cell r="C24" t="str">
            <v>Important</v>
          </cell>
        </row>
        <row r="25">
          <cell r="B25">
            <v>4</v>
          </cell>
          <cell r="C25" t="str">
            <v>Very important</v>
          </cell>
        </row>
        <row r="26">
          <cell r="B26">
            <v>5</v>
          </cell>
          <cell r="C26" t="str">
            <v>Critical</v>
          </cell>
        </row>
        <row r="27">
          <cell r="B27">
            <v>6</v>
          </cell>
          <cell r="C27" t="str">
            <v>Show stopper</v>
          </cell>
        </row>
      </sheetData>
      <sheetData sheetId="17">
        <row r="3">
          <cell r="E3" t="str">
            <v>No interest</v>
          </cell>
        </row>
        <row r="4">
          <cell r="E4" t="str">
            <v>Nice to have</v>
          </cell>
        </row>
        <row r="5">
          <cell r="E5" t="str">
            <v>Useful</v>
          </cell>
        </row>
        <row r="6">
          <cell r="E6" t="str">
            <v>Important</v>
          </cell>
        </row>
        <row r="7">
          <cell r="E7" t="str">
            <v>Very important</v>
          </cell>
        </row>
        <row r="8">
          <cell r="E8" t="str">
            <v>Critical</v>
          </cell>
        </row>
        <row r="9">
          <cell r="E9" t="str">
            <v>Show stopper</v>
          </cell>
        </row>
      </sheetData>
      <sheetData sheetId="1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grampower.atlassian.net/browse/PC-14975" TargetMode="External"/><Relationship Id="rId2" Type="http://schemas.openxmlformats.org/officeDocument/2006/relationships/hyperlink" Target="https://grampower.atlassian.net/browse/PC-14974" TargetMode="External"/><Relationship Id="rId1" Type="http://schemas.openxmlformats.org/officeDocument/2006/relationships/hyperlink" Target="https://grampower.atlassian.net/browse/PC-14970" TargetMode="Externa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30FC4-8F9B-4120-9191-9A5B0FBF85E2}">
  <dimension ref="A1:Q59"/>
  <sheetViews>
    <sheetView topLeftCell="A11" zoomScaleNormal="100" workbookViewId="0">
      <pane ySplit="2" topLeftCell="B52" activePane="bottomLeft" state="frozen"/>
      <selection pane="bottomLeft" activeCell="F13" sqref="F13:F57"/>
      <selection activeCell="B1" sqref="B1"/>
    </sheetView>
  </sheetViews>
  <sheetFormatPr defaultColWidth="6.625" defaultRowHeight="12.6"/>
  <cols>
    <col min="1" max="1" width="5.5" style="3" bestFit="1" customWidth="1"/>
    <col min="2" max="2" width="24.5" style="23" customWidth="1"/>
    <col min="3" max="3" width="50.625" style="50" customWidth="1"/>
    <col min="4" max="4" width="13.375" style="3" customWidth="1"/>
    <col min="5" max="5" width="8.375" style="3" customWidth="1"/>
    <col min="6" max="6" width="10.375" style="3" customWidth="1"/>
    <col min="7" max="7" width="25.5" style="4" hidden="1" customWidth="1"/>
    <col min="8" max="8" width="10.75" style="3" hidden="1" customWidth="1"/>
    <col min="9" max="9" width="11.125" style="3" hidden="1" customWidth="1"/>
    <col min="10" max="10" width="22.375" style="5" hidden="1" customWidth="1"/>
    <col min="11" max="11" width="15.375" style="56" customWidth="1"/>
    <col min="12" max="12" width="28" style="56" customWidth="1"/>
    <col min="13" max="14" width="13.625" style="56" customWidth="1"/>
    <col min="15" max="16" width="30" style="56" customWidth="1"/>
    <col min="17" max="17" width="20" style="5" customWidth="1"/>
    <col min="18" max="16384" width="6.625" style="5"/>
  </cols>
  <sheetData>
    <row r="1" spans="1:17" ht="12.95" hidden="1">
      <c r="A1" s="1"/>
      <c r="B1" s="2"/>
      <c r="C1" s="1"/>
    </row>
    <row r="2" spans="1:17" ht="14.1" hidden="1">
      <c r="A2" s="1"/>
      <c r="B2" s="6" t="s">
        <v>0</v>
      </c>
      <c r="C2" s="7" t="str">
        <f>'[1]Scoring Summary'!C2</f>
        <v>&lt;insert before tender publication&gt;</v>
      </c>
      <c r="D2" s="190"/>
      <c r="E2" s="191" t="s">
        <v>1</v>
      </c>
      <c r="F2" s="192"/>
    </row>
    <row r="3" spans="1:17" ht="14.1" hidden="1">
      <c r="A3" s="1"/>
      <c r="B3" s="6" t="s">
        <v>2</v>
      </c>
      <c r="C3" s="7" t="str">
        <f>'[1]Scoring Summary'!C3</f>
        <v>&lt;insert before tender publication&gt;</v>
      </c>
      <c r="D3" s="190"/>
      <c r="E3" s="193"/>
      <c r="F3" s="194"/>
      <c r="H3" s="9"/>
    </row>
    <row r="4" spans="1:17" ht="27.95" hidden="1">
      <c r="A4" s="1"/>
      <c r="B4" s="6" t="s">
        <v>3</v>
      </c>
      <c r="C4" s="7" t="str">
        <f>'[1]Scoring Summary'!C4</f>
        <v>&lt;Evaluator to complete&gt;</v>
      </c>
      <c r="D4" s="10"/>
      <c r="E4" s="11" t="s">
        <v>4</v>
      </c>
      <c r="F4" s="12"/>
      <c r="H4" s="13"/>
    </row>
    <row r="5" spans="1:17" ht="15.6" hidden="1">
      <c r="A5" s="1"/>
      <c r="B5" s="6" t="s">
        <v>5</v>
      </c>
      <c r="C5" s="7" t="str">
        <f>'[1]Scoring Summary'!C5</f>
        <v>&lt;Evaluator to complete&gt;</v>
      </c>
      <c r="D5" s="8"/>
      <c r="E5" s="14"/>
      <c r="F5" s="15"/>
      <c r="H5" s="13"/>
    </row>
    <row r="6" spans="1:17" ht="14.1" hidden="1">
      <c r="B6" s="6" t="s">
        <v>6</v>
      </c>
      <c r="C6" s="7" t="str">
        <f>'[1]Scoring Summary'!C6</f>
        <v>&lt;Evaluator to complete&gt;</v>
      </c>
      <c r="H6" s="13"/>
    </row>
    <row r="7" spans="1:17" ht="14.1" hidden="1">
      <c r="A7" s="16"/>
      <c r="B7" s="6" t="s">
        <v>7</v>
      </c>
      <c r="C7" s="17"/>
    </row>
    <row r="8" spans="1:17" ht="14.1" hidden="1">
      <c r="A8" s="16"/>
      <c r="B8" s="18"/>
      <c r="C8" s="19"/>
    </row>
    <row r="9" spans="1:17" ht="12.95" hidden="1">
      <c r="A9" s="16"/>
      <c r="B9" s="195" t="s">
        <v>8</v>
      </c>
      <c r="C9" s="195"/>
      <c r="D9" s="195"/>
      <c r="E9" s="195"/>
      <c r="F9" s="195"/>
      <c r="G9" s="195"/>
    </row>
    <row r="10" spans="1:17" ht="12.95" hidden="1">
      <c r="A10" s="16"/>
      <c r="B10" s="20"/>
      <c r="C10" s="20"/>
      <c r="D10" s="20"/>
      <c r="E10" s="20"/>
      <c r="F10" s="20"/>
      <c r="G10" s="20"/>
    </row>
    <row r="11" spans="1:17" ht="24">
      <c r="A11" s="76"/>
      <c r="B11" s="75"/>
      <c r="C11" s="75"/>
      <c r="D11" s="77" t="s">
        <v>9</v>
      </c>
      <c r="E11" s="78" t="s">
        <v>10</v>
      </c>
      <c r="F11" s="79"/>
      <c r="G11" s="196" t="s">
        <v>11</v>
      </c>
      <c r="H11" s="196"/>
      <c r="I11" s="196"/>
      <c r="J11" s="196" t="s">
        <v>12</v>
      </c>
      <c r="K11" s="197" t="s">
        <v>13</v>
      </c>
      <c r="L11" s="197" t="s">
        <v>14</v>
      </c>
      <c r="M11" s="199" t="s">
        <v>15</v>
      </c>
      <c r="N11" s="199" t="s">
        <v>16</v>
      </c>
      <c r="O11" s="197" t="s">
        <v>17</v>
      </c>
      <c r="P11" s="197" t="s">
        <v>18</v>
      </c>
      <c r="Q11" s="197" t="s">
        <v>19</v>
      </c>
    </row>
    <row r="12" spans="1:17" ht="24">
      <c r="A12" s="81" t="s">
        <v>20</v>
      </c>
      <c r="B12" s="82" t="s">
        <v>21</v>
      </c>
      <c r="C12" s="83" t="s">
        <v>22</v>
      </c>
      <c r="D12" s="84" t="s">
        <v>23</v>
      </c>
      <c r="E12" s="85" t="s">
        <v>9</v>
      </c>
      <c r="F12" s="85" t="s">
        <v>24</v>
      </c>
      <c r="G12" s="80" t="s">
        <v>25</v>
      </c>
      <c r="H12" s="80" t="s">
        <v>26</v>
      </c>
      <c r="I12" s="80" t="s">
        <v>27</v>
      </c>
      <c r="J12" s="196"/>
      <c r="K12" s="197"/>
      <c r="L12" s="197"/>
      <c r="M12" s="200"/>
      <c r="N12" s="200"/>
      <c r="O12" s="197"/>
      <c r="P12" s="197"/>
      <c r="Q12" s="197"/>
    </row>
    <row r="13" spans="1:17" ht="118.5">
      <c r="A13" s="74">
        <v>1</v>
      </c>
      <c r="B13" s="86" t="s">
        <v>28</v>
      </c>
      <c r="C13" s="87" t="s">
        <v>29</v>
      </c>
      <c r="D13" s="88" t="s">
        <v>30</v>
      </c>
      <c r="E13" s="89">
        <f>IF(D13='[1]Priority Ratings'!$C$21,'[1]Priority Ratings'!$B$21,IF(D13='[1]Priority Ratings'!$C$22,'[1]Priority Ratings'!$B$22,IF(D13='[1]Priority Ratings'!$C$23,'[1]Priority Ratings'!$B$23,IF(D13='[1]Priority Ratings'!$C$24,'[1]Priority Ratings'!$B$24,IF(D13='[1]Priority Ratings'!$C$25,'[1]Priority Ratings'!$B$25,IF(D13='[1]Priority Ratings'!$C$26,'[1]Priority Ratings'!$B$26,IF(D13='[1]Priority Ratings'!$C$27,'[1]Priority Ratings'!$B$27,"No Rating")))))))</f>
        <v>5</v>
      </c>
      <c r="F13" s="90">
        <f t="shared" ref="F13:F57" si="0">E13/E$59</f>
        <v>3.937007874015748E-2</v>
      </c>
      <c r="G13" s="91" t="s">
        <v>31</v>
      </c>
      <c r="H13" s="92"/>
      <c r="I13" s="90">
        <f t="shared" ref="I13:I57" si="1">F13*H13</f>
        <v>0</v>
      </c>
      <c r="J13" s="93"/>
      <c r="K13" s="74" t="s">
        <v>32</v>
      </c>
      <c r="L13" s="59"/>
      <c r="M13" s="59" t="s">
        <v>33</v>
      </c>
      <c r="N13" s="59"/>
      <c r="O13" s="59" t="s">
        <v>34</v>
      </c>
      <c r="P13" s="59" t="s">
        <v>35</v>
      </c>
      <c r="Q13" s="5">
        <v>2</v>
      </c>
    </row>
    <row r="14" spans="1:17" ht="60">
      <c r="A14" s="94">
        <v>2</v>
      </c>
      <c r="B14" s="95" t="s">
        <v>36</v>
      </c>
      <c r="C14" s="87" t="s">
        <v>37</v>
      </c>
      <c r="D14" s="88" t="s">
        <v>30</v>
      </c>
      <c r="E14" s="89">
        <f>IF(D14='[1]Priority Ratings'!$C$21,'[1]Priority Ratings'!$B$21,IF(D14='[1]Priority Ratings'!$C$22,'[1]Priority Ratings'!$B$22,IF(D14='[1]Priority Ratings'!$C$23,'[1]Priority Ratings'!$B$23,IF(D14='[1]Priority Ratings'!$C$24,'[1]Priority Ratings'!$B$24,IF(D14='[1]Priority Ratings'!$C$25,'[1]Priority Ratings'!$B$25,IF(D14='[1]Priority Ratings'!$C$26,'[1]Priority Ratings'!$B$26,IF(D14='[1]Priority Ratings'!$C$27,'[1]Priority Ratings'!$B$27,"No Rating")))))))</f>
        <v>5</v>
      </c>
      <c r="F14" s="90">
        <f t="shared" si="0"/>
        <v>3.937007874015748E-2</v>
      </c>
      <c r="G14" s="91" t="s">
        <v>31</v>
      </c>
      <c r="H14" s="92"/>
      <c r="I14" s="90">
        <f t="shared" si="1"/>
        <v>0</v>
      </c>
      <c r="J14" s="93"/>
      <c r="K14" s="59" t="s">
        <v>38</v>
      </c>
      <c r="L14" s="59" t="s">
        <v>39</v>
      </c>
      <c r="M14" s="59"/>
      <c r="N14" s="59"/>
      <c r="O14" s="59"/>
      <c r="P14" s="59"/>
      <c r="Q14" s="5">
        <v>1</v>
      </c>
    </row>
    <row r="15" spans="1:17" ht="60">
      <c r="A15" s="74">
        <v>3</v>
      </c>
      <c r="B15" s="95" t="s">
        <v>40</v>
      </c>
      <c r="C15" s="87" t="s">
        <v>41</v>
      </c>
      <c r="D15" s="88" t="s">
        <v>30</v>
      </c>
      <c r="E15" s="89">
        <f>IF(D15='[1]Priority Ratings'!$C$21,'[1]Priority Ratings'!$B$21,IF(D15='[1]Priority Ratings'!$C$22,'[1]Priority Ratings'!$B$22,IF(D15='[1]Priority Ratings'!$C$23,'[1]Priority Ratings'!$B$23,IF(D15='[1]Priority Ratings'!$C$24,'[1]Priority Ratings'!$B$24,IF(D15='[1]Priority Ratings'!$C$25,'[1]Priority Ratings'!$B$25,IF(D15='[1]Priority Ratings'!$C$26,'[1]Priority Ratings'!$B$26,IF(D15='[1]Priority Ratings'!$C$27,'[1]Priority Ratings'!$B$27,"No Rating")))))))</f>
        <v>5</v>
      </c>
      <c r="F15" s="90">
        <f t="shared" si="0"/>
        <v>3.937007874015748E-2</v>
      </c>
      <c r="G15" s="91" t="s">
        <v>31</v>
      </c>
      <c r="H15" s="92"/>
      <c r="I15" s="90">
        <f t="shared" si="1"/>
        <v>0</v>
      </c>
      <c r="J15" s="93"/>
      <c r="K15" s="59" t="s">
        <v>42</v>
      </c>
      <c r="L15" s="59" t="s">
        <v>43</v>
      </c>
      <c r="M15" s="59" t="s">
        <v>33</v>
      </c>
      <c r="N15" s="59"/>
      <c r="O15" s="59" t="s">
        <v>44</v>
      </c>
      <c r="P15" s="59"/>
      <c r="Q15" s="163">
        <v>2</v>
      </c>
    </row>
    <row r="16" spans="1:17" ht="107.25">
      <c r="A16" s="94">
        <v>4</v>
      </c>
      <c r="B16" s="95" t="s">
        <v>45</v>
      </c>
      <c r="C16" s="87" t="s">
        <v>46</v>
      </c>
      <c r="D16" s="88" t="s">
        <v>30</v>
      </c>
      <c r="E16" s="89">
        <f>IF(D16='[1]Priority Ratings'!$C$21,'[1]Priority Ratings'!$B$21,IF(D16='[1]Priority Ratings'!$C$22,'[1]Priority Ratings'!$B$22,IF(D16='[1]Priority Ratings'!$C$23,'[1]Priority Ratings'!$B$23,IF(D16='[1]Priority Ratings'!$C$24,'[1]Priority Ratings'!$B$24,IF(D16='[1]Priority Ratings'!$C$25,'[1]Priority Ratings'!$B$25,IF(D16='[1]Priority Ratings'!$C$26,'[1]Priority Ratings'!$B$26,IF(D16='[1]Priority Ratings'!$C$27,'[1]Priority Ratings'!$B$27,"No Rating")))))))</f>
        <v>5</v>
      </c>
      <c r="F16" s="90">
        <f t="shared" si="0"/>
        <v>3.937007874015748E-2</v>
      </c>
      <c r="G16" s="91" t="s">
        <v>31</v>
      </c>
      <c r="H16" s="92"/>
      <c r="I16" s="90">
        <f t="shared" si="1"/>
        <v>0</v>
      </c>
      <c r="J16" s="93"/>
      <c r="K16" s="59" t="s">
        <v>42</v>
      </c>
      <c r="L16" s="59" t="s">
        <v>47</v>
      </c>
      <c r="M16" s="59" t="s">
        <v>48</v>
      </c>
      <c r="N16" s="59"/>
      <c r="O16" s="75" t="s">
        <v>49</v>
      </c>
      <c r="P16" s="59" t="s">
        <v>50</v>
      </c>
      <c r="Q16" s="5">
        <v>3</v>
      </c>
    </row>
    <row r="17" spans="1:17" ht="107.25">
      <c r="A17" s="74">
        <v>5</v>
      </c>
      <c r="B17" s="95" t="s">
        <v>51</v>
      </c>
      <c r="C17" s="87" t="s">
        <v>52</v>
      </c>
      <c r="D17" s="88" t="s">
        <v>30</v>
      </c>
      <c r="E17" s="89">
        <f>IF(D17='[1]Priority Ratings'!$C$21,'[1]Priority Ratings'!$B$21,IF(D17='[1]Priority Ratings'!$C$22,'[1]Priority Ratings'!$B$22,IF(D17='[1]Priority Ratings'!$C$23,'[1]Priority Ratings'!$B$23,IF(D17='[1]Priority Ratings'!$C$24,'[1]Priority Ratings'!$B$24,IF(D17='[1]Priority Ratings'!$C$25,'[1]Priority Ratings'!$B$25,IF(D17='[1]Priority Ratings'!$C$26,'[1]Priority Ratings'!$B$26,IF(D17='[1]Priority Ratings'!$C$27,'[1]Priority Ratings'!$B$27,"No Rating")))))))</f>
        <v>5</v>
      </c>
      <c r="F17" s="90">
        <f t="shared" si="0"/>
        <v>3.937007874015748E-2</v>
      </c>
      <c r="G17" s="91" t="s">
        <v>31</v>
      </c>
      <c r="H17" s="92"/>
      <c r="I17" s="90">
        <f t="shared" si="1"/>
        <v>0</v>
      </c>
      <c r="J17" s="93"/>
      <c r="K17" s="59" t="s">
        <v>32</v>
      </c>
      <c r="L17" s="59" t="s">
        <v>53</v>
      </c>
      <c r="M17" s="59" t="s">
        <v>48</v>
      </c>
      <c r="N17" s="59"/>
      <c r="O17" s="59" t="s">
        <v>54</v>
      </c>
      <c r="P17" s="59"/>
      <c r="Q17" s="5">
        <v>2</v>
      </c>
    </row>
    <row r="18" spans="1:17" ht="60">
      <c r="A18" s="94">
        <v>6</v>
      </c>
      <c r="B18" s="95" t="s">
        <v>51</v>
      </c>
      <c r="C18" s="87" t="s">
        <v>55</v>
      </c>
      <c r="D18" s="88" t="s">
        <v>30</v>
      </c>
      <c r="E18" s="89">
        <f>IF(D18='[1]Priority Ratings'!$C$21,'[1]Priority Ratings'!$B$21,IF(D18='[1]Priority Ratings'!$C$22,'[1]Priority Ratings'!$B$22,IF(D18='[1]Priority Ratings'!$C$23,'[1]Priority Ratings'!$B$23,IF(D18='[1]Priority Ratings'!$C$24,'[1]Priority Ratings'!$B$24,IF(D18='[1]Priority Ratings'!$C$25,'[1]Priority Ratings'!$B$25,IF(D18='[1]Priority Ratings'!$C$26,'[1]Priority Ratings'!$B$26,IF(D18='[1]Priority Ratings'!$C$27,'[1]Priority Ratings'!$B$27,"No Rating")))))))</f>
        <v>5</v>
      </c>
      <c r="F18" s="90">
        <f t="shared" si="0"/>
        <v>3.937007874015748E-2</v>
      </c>
      <c r="G18" s="91" t="s">
        <v>31</v>
      </c>
      <c r="H18" s="92"/>
      <c r="I18" s="90">
        <f t="shared" si="1"/>
        <v>0</v>
      </c>
      <c r="J18" s="93"/>
      <c r="K18" s="59" t="s">
        <v>32</v>
      </c>
      <c r="L18" s="59" t="s">
        <v>56</v>
      </c>
      <c r="M18" s="59" t="s">
        <v>33</v>
      </c>
      <c r="N18" s="59"/>
      <c r="O18" s="59"/>
      <c r="P18" s="59"/>
      <c r="Q18" s="164">
        <v>1</v>
      </c>
    </row>
    <row r="19" spans="1:17" ht="135.75" customHeight="1">
      <c r="A19" s="74">
        <v>7</v>
      </c>
      <c r="B19" s="95" t="s">
        <v>28</v>
      </c>
      <c r="C19" s="87" t="s">
        <v>57</v>
      </c>
      <c r="D19" s="88" t="s">
        <v>58</v>
      </c>
      <c r="E19" s="89">
        <f>IF(D19='[1]Priority Ratings'!$C$21,'[1]Priority Ratings'!$B$21,IF(D19='[1]Priority Ratings'!$C$22,'[1]Priority Ratings'!$B$22,IF(D19='[1]Priority Ratings'!$C$23,'[1]Priority Ratings'!$B$23,IF(D19='[1]Priority Ratings'!$C$24,'[1]Priority Ratings'!$B$24,IF(D19='[1]Priority Ratings'!$C$25,'[1]Priority Ratings'!$B$25,IF(D19='[1]Priority Ratings'!$C$26,'[1]Priority Ratings'!$B$26,IF(D19='[1]Priority Ratings'!$C$27,'[1]Priority Ratings'!$B$27,"No Rating")))))))</f>
        <v>3</v>
      </c>
      <c r="F19" s="90">
        <f t="shared" si="0"/>
        <v>2.3622047244094488E-2</v>
      </c>
      <c r="G19" s="91" t="s">
        <v>31</v>
      </c>
      <c r="H19" s="92"/>
      <c r="I19" s="90">
        <f t="shared" si="1"/>
        <v>0</v>
      </c>
      <c r="J19" s="93"/>
      <c r="K19" s="59" t="s">
        <v>38</v>
      </c>
      <c r="L19" s="59" t="s">
        <v>59</v>
      </c>
      <c r="M19" s="59"/>
      <c r="N19" s="59"/>
      <c r="O19" s="59"/>
      <c r="P19" s="59"/>
      <c r="Q19" s="5" t="s">
        <v>60</v>
      </c>
    </row>
    <row r="20" spans="1:17" s="175" customFormat="1" ht="72">
      <c r="A20" s="165">
        <v>8</v>
      </c>
      <c r="B20" s="166" t="s">
        <v>61</v>
      </c>
      <c r="C20" s="167" t="s">
        <v>62</v>
      </c>
      <c r="D20" s="168" t="s">
        <v>30</v>
      </c>
      <c r="E20" s="169">
        <f>IF(D20='[1]Priority Ratings'!$C$21,'[1]Priority Ratings'!$B$21,IF(D20='[1]Priority Ratings'!$C$22,'[1]Priority Ratings'!$B$22,IF(D20='[1]Priority Ratings'!$C$23,'[1]Priority Ratings'!$B$23,IF(D20='[1]Priority Ratings'!$C$24,'[1]Priority Ratings'!$B$24,IF(D20='[1]Priority Ratings'!$C$25,'[1]Priority Ratings'!$B$25,IF(D20='[1]Priority Ratings'!$C$26,'[1]Priority Ratings'!$B$26,IF(D20='[1]Priority Ratings'!$C$27,'[1]Priority Ratings'!$B$27,"No Rating")))))))</f>
        <v>5</v>
      </c>
      <c r="F20" s="170">
        <f t="shared" si="0"/>
        <v>3.937007874015748E-2</v>
      </c>
      <c r="G20" s="171" t="s">
        <v>31</v>
      </c>
      <c r="H20" s="172"/>
      <c r="I20" s="170">
        <f t="shared" si="1"/>
        <v>0</v>
      </c>
      <c r="J20" s="173"/>
      <c r="K20" s="174" t="s">
        <v>38</v>
      </c>
      <c r="L20" s="174" t="s">
        <v>63</v>
      </c>
      <c r="M20" s="174"/>
      <c r="N20" s="174"/>
      <c r="O20" s="174"/>
      <c r="P20" s="174"/>
      <c r="Q20" s="175">
        <v>0</v>
      </c>
    </row>
    <row r="21" spans="1:17" ht="190.5">
      <c r="A21" s="74">
        <v>9</v>
      </c>
      <c r="B21" s="95" t="s">
        <v>64</v>
      </c>
      <c r="C21" s="87" t="s">
        <v>65</v>
      </c>
      <c r="D21" s="88" t="s">
        <v>30</v>
      </c>
      <c r="E21" s="89">
        <f>IF(D21='[1]Priority Ratings'!$C$21,'[1]Priority Ratings'!$B$21,IF(D21='[1]Priority Ratings'!$C$22,'[1]Priority Ratings'!$B$22,IF(D21='[1]Priority Ratings'!$C$23,'[1]Priority Ratings'!$B$23,IF(D21='[1]Priority Ratings'!$C$24,'[1]Priority Ratings'!$B$24,IF(D21='[1]Priority Ratings'!$C$25,'[1]Priority Ratings'!$B$25,IF(D21='[1]Priority Ratings'!$C$26,'[1]Priority Ratings'!$B$26,IF(D21='[1]Priority Ratings'!$C$27,'[1]Priority Ratings'!$B$27,"No Rating")))))))</f>
        <v>5</v>
      </c>
      <c r="F21" s="90">
        <f t="shared" si="0"/>
        <v>3.937007874015748E-2</v>
      </c>
      <c r="G21" s="91" t="s">
        <v>31</v>
      </c>
      <c r="H21" s="92"/>
      <c r="I21" s="90">
        <f t="shared" si="1"/>
        <v>0</v>
      </c>
      <c r="J21" s="93"/>
      <c r="K21" s="59" t="s">
        <v>42</v>
      </c>
      <c r="L21" s="97" t="s">
        <v>66</v>
      </c>
      <c r="M21" s="59" t="s">
        <v>48</v>
      </c>
      <c r="N21" s="59"/>
      <c r="O21" s="59" t="s">
        <v>67</v>
      </c>
      <c r="P21" s="59" t="s">
        <v>68</v>
      </c>
      <c r="Q21" s="5">
        <v>2</v>
      </c>
    </row>
    <row r="22" spans="1:17" ht="142.5">
      <c r="A22" s="94">
        <v>10</v>
      </c>
      <c r="B22" s="95" t="s">
        <v>69</v>
      </c>
      <c r="C22" s="87" t="s">
        <v>70</v>
      </c>
      <c r="D22" s="88" t="s">
        <v>30</v>
      </c>
      <c r="E22" s="89">
        <f>IF(D22='[1]Priority Ratings'!$C$21,'[1]Priority Ratings'!$B$21,IF(D22='[1]Priority Ratings'!$C$22,'[1]Priority Ratings'!$B$22,IF(D22='[1]Priority Ratings'!$C$23,'[1]Priority Ratings'!$B$23,IF(D22='[1]Priority Ratings'!$C$24,'[1]Priority Ratings'!$B$24,IF(D22='[1]Priority Ratings'!$C$25,'[1]Priority Ratings'!$B$25,IF(D22='[1]Priority Ratings'!$C$26,'[1]Priority Ratings'!$B$26,IF(D22='[1]Priority Ratings'!$C$27,'[1]Priority Ratings'!$B$27,"No Rating")))))))</f>
        <v>5</v>
      </c>
      <c r="F22" s="90">
        <f t="shared" si="0"/>
        <v>3.937007874015748E-2</v>
      </c>
      <c r="G22" s="91" t="s">
        <v>31</v>
      </c>
      <c r="H22" s="92"/>
      <c r="I22" s="90">
        <f t="shared" si="1"/>
        <v>0</v>
      </c>
      <c r="J22" s="93"/>
      <c r="K22" s="59" t="s">
        <v>42</v>
      </c>
      <c r="L22" s="176" t="s">
        <v>71</v>
      </c>
      <c r="M22" s="59" t="s">
        <v>48</v>
      </c>
      <c r="N22" s="59"/>
      <c r="O22" s="59" t="s">
        <v>72</v>
      </c>
      <c r="P22" s="59"/>
      <c r="Q22" s="5">
        <v>2</v>
      </c>
    </row>
    <row r="23" spans="1:17" ht="60">
      <c r="A23" s="74">
        <v>11</v>
      </c>
      <c r="B23" s="95" t="s">
        <v>73</v>
      </c>
      <c r="C23" s="87" t="s">
        <v>74</v>
      </c>
      <c r="D23" s="88" t="s">
        <v>30</v>
      </c>
      <c r="E23" s="89">
        <f>IF(D23='[1]Priority Ratings'!$C$21,'[1]Priority Ratings'!$B$21,IF(D23='[1]Priority Ratings'!$C$22,'[1]Priority Ratings'!$B$22,IF(D23='[1]Priority Ratings'!$C$23,'[1]Priority Ratings'!$B$23,IF(D23='[1]Priority Ratings'!$C$24,'[1]Priority Ratings'!$B$24,IF(D23='[1]Priority Ratings'!$C$25,'[1]Priority Ratings'!$B$25,IF(D23='[1]Priority Ratings'!$C$26,'[1]Priority Ratings'!$B$26,IF(D23='[1]Priority Ratings'!$C$27,'[1]Priority Ratings'!$B$27,"No Rating")))))))</f>
        <v>5</v>
      </c>
      <c r="F23" s="90">
        <f t="shared" si="0"/>
        <v>3.937007874015748E-2</v>
      </c>
      <c r="G23" s="91" t="s">
        <v>31</v>
      </c>
      <c r="H23" s="92"/>
      <c r="I23" s="90">
        <f t="shared" si="1"/>
        <v>0</v>
      </c>
      <c r="J23" s="93"/>
      <c r="K23" s="59" t="s">
        <v>38</v>
      </c>
      <c r="L23" s="59" t="s">
        <v>75</v>
      </c>
      <c r="M23" s="59"/>
      <c r="N23" s="59"/>
      <c r="O23" s="59"/>
      <c r="P23" s="59"/>
      <c r="Q23" s="5">
        <v>0</v>
      </c>
    </row>
    <row r="24" spans="1:17" ht="142.5">
      <c r="A24" s="94">
        <v>12</v>
      </c>
      <c r="B24" s="95" t="s">
        <v>76</v>
      </c>
      <c r="C24" s="87" t="s">
        <v>77</v>
      </c>
      <c r="D24" s="88" t="s">
        <v>30</v>
      </c>
      <c r="E24" s="89">
        <f>IF(D24='[1]Priority Ratings'!$C$21,'[1]Priority Ratings'!$B$21,IF(D24='[1]Priority Ratings'!$C$22,'[1]Priority Ratings'!$B$22,IF(D24='[1]Priority Ratings'!$C$23,'[1]Priority Ratings'!$B$23,IF(D24='[1]Priority Ratings'!$C$24,'[1]Priority Ratings'!$B$24,IF(D24='[1]Priority Ratings'!$C$25,'[1]Priority Ratings'!$B$25,IF(D24='[1]Priority Ratings'!$C$26,'[1]Priority Ratings'!$B$26,IF(D24='[1]Priority Ratings'!$C$27,'[1]Priority Ratings'!$B$27,"No Rating")))))))</f>
        <v>5</v>
      </c>
      <c r="F24" s="90">
        <f t="shared" si="0"/>
        <v>3.937007874015748E-2</v>
      </c>
      <c r="G24" s="91" t="s">
        <v>31</v>
      </c>
      <c r="H24" s="92"/>
      <c r="I24" s="90">
        <f t="shared" si="1"/>
        <v>0</v>
      </c>
      <c r="J24" s="93"/>
      <c r="K24" s="59" t="s">
        <v>42</v>
      </c>
      <c r="L24" s="178" t="s">
        <v>78</v>
      </c>
      <c r="M24" s="59" t="s">
        <v>48</v>
      </c>
      <c r="N24" s="59"/>
      <c r="O24" s="59" t="s">
        <v>79</v>
      </c>
      <c r="P24" s="59"/>
      <c r="Q24" s="5">
        <v>1</v>
      </c>
    </row>
    <row r="25" spans="1:17" ht="107.25">
      <c r="A25" s="74">
        <v>13</v>
      </c>
      <c r="B25" s="95" t="s">
        <v>80</v>
      </c>
      <c r="C25" s="87" t="s">
        <v>81</v>
      </c>
      <c r="D25" s="88" t="s">
        <v>58</v>
      </c>
      <c r="E25" s="89">
        <f>IF(D25='[1]Priority Ratings'!$C$21,'[1]Priority Ratings'!$B$21,IF(D25='[1]Priority Ratings'!$C$22,'[1]Priority Ratings'!$B$22,IF(D25='[1]Priority Ratings'!$C$23,'[1]Priority Ratings'!$B$23,IF(D25='[1]Priority Ratings'!$C$24,'[1]Priority Ratings'!$B$24,IF(D25='[1]Priority Ratings'!$C$25,'[1]Priority Ratings'!$B$25,IF(D25='[1]Priority Ratings'!$C$26,'[1]Priority Ratings'!$B$26,IF(D25='[1]Priority Ratings'!$C$27,'[1]Priority Ratings'!$B$27,"No Rating")))))))</f>
        <v>3</v>
      </c>
      <c r="F25" s="90">
        <f t="shared" si="0"/>
        <v>2.3622047244094488E-2</v>
      </c>
      <c r="G25" s="91" t="s">
        <v>31</v>
      </c>
      <c r="H25" s="92"/>
      <c r="I25" s="90">
        <f t="shared" si="1"/>
        <v>0</v>
      </c>
      <c r="J25" s="93"/>
      <c r="K25" s="59" t="s">
        <v>42</v>
      </c>
      <c r="L25" s="59" t="s">
        <v>82</v>
      </c>
      <c r="M25" s="59" t="s">
        <v>48</v>
      </c>
      <c r="N25" s="59"/>
      <c r="O25" s="59" t="s">
        <v>83</v>
      </c>
      <c r="P25" s="59"/>
      <c r="Q25" s="5">
        <v>0</v>
      </c>
    </row>
    <row r="26" spans="1:17" ht="24">
      <c r="A26" s="94">
        <v>14</v>
      </c>
      <c r="B26" s="95" t="s">
        <v>84</v>
      </c>
      <c r="C26" s="87" t="s">
        <v>85</v>
      </c>
      <c r="D26" s="88" t="s">
        <v>58</v>
      </c>
      <c r="E26" s="89">
        <f>IF(D26='[1]Priority Ratings'!$C$21,'[1]Priority Ratings'!$B$21,IF(D26='[1]Priority Ratings'!$C$22,'[1]Priority Ratings'!$B$22,IF(D26='[1]Priority Ratings'!$C$23,'[1]Priority Ratings'!$B$23,IF(D26='[1]Priority Ratings'!$C$24,'[1]Priority Ratings'!$B$24,IF(D26='[1]Priority Ratings'!$C$25,'[1]Priority Ratings'!$B$25,IF(D26='[1]Priority Ratings'!$C$26,'[1]Priority Ratings'!$B$26,IF(D26='[1]Priority Ratings'!$C$27,'[1]Priority Ratings'!$B$27,"No Rating")))))))</f>
        <v>3</v>
      </c>
      <c r="F26" s="90">
        <f t="shared" si="0"/>
        <v>2.3622047244094488E-2</v>
      </c>
      <c r="G26" s="91" t="s">
        <v>31</v>
      </c>
      <c r="H26" s="92"/>
      <c r="I26" s="90">
        <f t="shared" si="1"/>
        <v>0</v>
      </c>
      <c r="J26" s="93"/>
      <c r="K26" s="59" t="s">
        <v>38</v>
      </c>
      <c r="L26" s="59" t="s">
        <v>82</v>
      </c>
      <c r="M26" s="59"/>
      <c r="N26" s="59"/>
      <c r="O26" s="59"/>
      <c r="P26" s="59"/>
      <c r="Q26" s="5">
        <v>0</v>
      </c>
    </row>
    <row r="27" spans="1:17" ht="36">
      <c r="A27" s="74">
        <v>15</v>
      </c>
      <c r="B27" s="95" t="s">
        <v>86</v>
      </c>
      <c r="C27" s="161" t="s">
        <v>87</v>
      </c>
      <c r="D27" s="88" t="s">
        <v>88</v>
      </c>
      <c r="E27" s="89">
        <f>IF(D27='[1]Priority Ratings'!$C$21,'[1]Priority Ratings'!$B$21,IF(D27='[1]Priority Ratings'!$C$22,'[1]Priority Ratings'!$B$22,IF(D27='[1]Priority Ratings'!$C$23,'[1]Priority Ratings'!$B$23,IF(D27='[1]Priority Ratings'!$C$24,'[1]Priority Ratings'!$B$24,IF(D27='[1]Priority Ratings'!$C$25,'[1]Priority Ratings'!$B$25,IF(D27='[1]Priority Ratings'!$C$26,'[1]Priority Ratings'!$B$26,IF(D27='[1]Priority Ratings'!$C$27,'[1]Priority Ratings'!$B$27,"No Rating")))))))</f>
        <v>1</v>
      </c>
      <c r="F27" s="90">
        <f t="shared" si="0"/>
        <v>7.874015748031496E-3</v>
      </c>
      <c r="G27" s="91" t="s">
        <v>31</v>
      </c>
      <c r="H27" s="92"/>
      <c r="I27" s="90">
        <f t="shared" si="1"/>
        <v>0</v>
      </c>
      <c r="J27" s="93"/>
      <c r="K27" s="59" t="s">
        <v>38</v>
      </c>
      <c r="L27" s="59" t="s">
        <v>89</v>
      </c>
      <c r="M27" s="59"/>
      <c r="N27" s="59"/>
      <c r="O27" s="59"/>
      <c r="P27" s="59"/>
      <c r="Q27" s="5">
        <v>1</v>
      </c>
    </row>
    <row r="28" spans="1:17" ht="84">
      <c r="A28" s="94">
        <v>16</v>
      </c>
      <c r="B28" s="95" t="s">
        <v>86</v>
      </c>
      <c r="C28" s="87" t="s">
        <v>90</v>
      </c>
      <c r="D28" s="88" t="s">
        <v>58</v>
      </c>
      <c r="E28" s="89">
        <f>IF(D28='[1]Priority Ratings'!$C$21,'[1]Priority Ratings'!$B$21,IF(D28='[1]Priority Ratings'!$C$22,'[1]Priority Ratings'!$B$22,IF(D28='[1]Priority Ratings'!$C$23,'[1]Priority Ratings'!$B$23,IF(D28='[1]Priority Ratings'!$C$24,'[1]Priority Ratings'!$B$24,IF(D28='[1]Priority Ratings'!$C$25,'[1]Priority Ratings'!$B$25,IF(D28='[1]Priority Ratings'!$C$26,'[1]Priority Ratings'!$B$26,IF(D28='[1]Priority Ratings'!$C$27,'[1]Priority Ratings'!$B$27,"No Rating")))))))</f>
        <v>3</v>
      </c>
      <c r="F28" s="90">
        <f t="shared" si="0"/>
        <v>2.3622047244094488E-2</v>
      </c>
      <c r="G28" s="91" t="s">
        <v>31</v>
      </c>
      <c r="H28" s="92"/>
      <c r="I28" s="90">
        <f t="shared" si="1"/>
        <v>0</v>
      </c>
      <c r="J28" s="93"/>
      <c r="K28" s="59" t="s">
        <v>38</v>
      </c>
      <c r="L28" s="59" t="s">
        <v>91</v>
      </c>
      <c r="M28" s="59"/>
      <c r="N28" s="59"/>
      <c r="O28" s="59" t="s">
        <v>92</v>
      </c>
      <c r="P28" s="59"/>
      <c r="Q28" s="5">
        <v>1</v>
      </c>
    </row>
    <row r="29" spans="1:17" ht="90.75" customHeight="1">
      <c r="A29" s="74">
        <v>17</v>
      </c>
      <c r="B29" s="95" t="s">
        <v>93</v>
      </c>
      <c r="C29" s="87" t="s">
        <v>94</v>
      </c>
      <c r="D29" s="88" t="s">
        <v>58</v>
      </c>
      <c r="E29" s="89">
        <f>IF(D29='[1]Priority Ratings'!$C$21,'[1]Priority Ratings'!$B$21,IF(D29='[1]Priority Ratings'!$C$22,'[1]Priority Ratings'!$B$22,IF(D29='[1]Priority Ratings'!$C$23,'[1]Priority Ratings'!$B$23,IF(D29='[1]Priority Ratings'!$C$24,'[1]Priority Ratings'!$B$24,IF(D29='[1]Priority Ratings'!$C$25,'[1]Priority Ratings'!$B$25,IF(D29='[1]Priority Ratings'!$C$26,'[1]Priority Ratings'!$B$26,IF(D29='[1]Priority Ratings'!$C$27,'[1]Priority Ratings'!$B$27,"No Rating")))))))</f>
        <v>3</v>
      </c>
      <c r="F29" s="90">
        <f t="shared" si="0"/>
        <v>2.3622047244094488E-2</v>
      </c>
      <c r="G29" s="91" t="s">
        <v>31</v>
      </c>
      <c r="H29" s="92"/>
      <c r="I29" s="90">
        <f t="shared" si="1"/>
        <v>0</v>
      </c>
      <c r="J29" s="93"/>
      <c r="K29" s="59" t="s">
        <v>42</v>
      </c>
      <c r="L29" s="59" t="s">
        <v>95</v>
      </c>
      <c r="M29" s="59" t="s">
        <v>48</v>
      </c>
      <c r="N29" s="59"/>
      <c r="O29" s="59"/>
      <c r="P29" s="59"/>
      <c r="Q29" s="5">
        <v>2</v>
      </c>
    </row>
    <row r="30" spans="1:17" ht="138" customHeight="1">
      <c r="A30" s="94">
        <v>18</v>
      </c>
      <c r="B30" s="95" t="s">
        <v>96</v>
      </c>
      <c r="C30" s="87" t="s">
        <v>97</v>
      </c>
      <c r="D30" s="88" t="s">
        <v>58</v>
      </c>
      <c r="E30" s="89">
        <f>IF(D30='[1]Priority Ratings'!$C$21,'[1]Priority Ratings'!$B$21,IF(D30='[1]Priority Ratings'!$C$22,'[1]Priority Ratings'!$B$22,IF(D30='[1]Priority Ratings'!$C$23,'[1]Priority Ratings'!$B$23,IF(D30='[1]Priority Ratings'!$C$24,'[1]Priority Ratings'!$B$24,IF(D30='[1]Priority Ratings'!$C$25,'[1]Priority Ratings'!$B$25,IF(D30='[1]Priority Ratings'!$C$26,'[1]Priority Ratings'!$B$26,IF(D30='[1]Priority Ratings'!$C$27,'[1]Priority Ratings'!$B$27,"No Rating")))))))</f>
        <v>3</v>
      </c>
      <c r="F30" s="90">
        <f t="shared" si="0"/>
        <v>2.3622047244094488E-2</v>
      </c>
      <c r="G30" s="91" t="s">
        <v>31</v>
      </c>
      <c r="H30" s="92"/>
      <c r="I30" s="90">
        <f t="shared" si="1"/>
        <v>0</v>
      </c>
      <c r="J30" s="93"/>
      <c r="K30" s="59" t="s">
        <v>42</v>
      </c>
      <c r="L30" s="59" t="s">
        <v>98</v>
      </c>
      <c r="M30" s="59" t="s">
        <v>33</v>
      </c>
      <c r="N30" s="59"/>
      <c r="O30" s="59" t="s">
        <v>99</v>
      </c>
      <c r="P30" s="59"/>
      <c r="Q30" s="5">
        <v>2</v>
      </c>
    </row>
    <row r="31" spans="1:17" s="187" customFormat="1" ht="69.75" customHeight="1">
      <c r="A31" s="155">
        <v>19</v>
      </c>
      <c r="B31" s="179" t="s">
        <v>100</v>
      </c>
      <c r="C31" s="180" t="s">
        <v>101</v>
      </c>
      <c r="D31" s="181" t="s">
        <v>30</v>
      </c>
      <c r="E31" s="182">
        <f>IF(D31='[1]Priority Ratings'!$C$21,'[1]Priority Ratings'!$B$21,IF(D31='[1]Priority Ratings'!$C$22,'[1]Priority Ratings'!$B$22,IF(D31='[1]Priority Ratings'!$C$23,'[1]Priority Ratings'!$B$23,IF(D31='[1]Priority Ratings'!$C$24,'[1]Priority Ratings'!$B$24,IF(D31='[1]Priority Ratings'!$C$25,'[1]Priority Ratings'!$B$25,IF(D31='[1]Priority Ratings'!$C$26,'[1]Priority Ratings'!$B$26,IF(D31='[1]Priority Ratings'!$C$27,'[1]Priority Ratings'!$B$27,"No Rating")))))))</f>
        <v>5</v>
      </c>
      <c r="F31" s="183">
        <f t="shared" si="0"/>
        <v>3.937007874015748E-2</v>
      </c>
      <c r="G31" s="184" t="s">
        <v>31</v>
      </c>
      <c r="H31" s="185"/>
      <c r="I31" s="183">
        <f t="shared" si="1"/>
        <v>0</v>
      </c>
      <c r="J31" s="186"/>
      <c r="K31" s="97" t="s">
        <v>32</v>
      </c>
      <c r="L31" s="97" t="s">
        <v>102</v>
      </c>
      <c r="M31" s="97" t="s">
        <v>48</v>
      </c>
      <c r="N31" s="97"/>
      <c r="O31" s="97" t="s">
        <v>103</v>
      </c>
      <c r="P31" s="97" t="s">
        <v>104</v>
      </c>
      <c r="Q31" s="187" t="s">
        <v>60</v>
      </c>
    </row>
    <row r="32" spans="1:17" s="187" customFormat="1" ht="62.45">
      <c r="A32" s="188">
        <v>20</v>
      </c>
      <c r="B32" s="179" t="s">
        <v>105</v>
      </c>
      <c r="C32" s="180" t="s">
        <v>106</v>
      </c>
      <c r="D32" s="181" t="s">
        <v>30</v>
      </c>
      <c r="E32" s="182">
        <f>IF(D32='[1]Priority Ratings'!$C$21,'[1]Priority Ratings'!$B$21,IF(D32='[1]Priority Ratings'!$C$22,'[1]Priority Ratings'!$B$22,IF(D32='[1]Priority Ratings'!$C$23,'[1]Priority Ratings'!$B$23,IF(D32='[1]Priority Ratings'!$C$24,'[1]Priority Ratings'!$B$24,IF(D32='[1]Priority Ratings'!$C$25,'[1]Priority Ratings'!$B$25,IF(D32='[1]Priority Ratings'!$C$26,'[1]Priority Ratings'!$B$26,IF(D32='[1]Priority Ratings'!$C$27,'[1]Priority Ratings'!$B$27,"No Rating")))))))</f>
        <v>5</v>
      </c>
      <c r="F32" s="183">
        <f t="shared" si="0"/>
        <v>3.937007874015748E-2</v>
      </c>
      <c r="G32" s="184" t="s">
        <v>31</v>
      </c>
      <c r="H32" s="185"/>
      <c r="I32" s="183">
        <f t="shared" si="1"/>
        <v>0</v>
      </c>
      <c r="J32" s="186"/>
      <c r="K32" s="97" t="s">
        <v>32</v>
      </c>
      <c r="L32" s="97" t="s">
        <v>102</v>
      </c>
      <c r="M32" s="97"/>
      <c r="N32" s="97"/>
      <c r="O32" s="97"/>
      <c r="P32" s="97"/>
      <c r="Q32" s="187" t="s">
        <v>60</v>
      </c>
    </row>
    <row r="33" spans="1:17" ht="212.45">
      <c r="A33" s="74">
        <v>21</v>
      </c>
      <c r="B33" s="95" t="s">
        <v>107</v>
      </c>
      <c r="C33" s="87" t="s">
        <v>108</v>
      </c>
      <c r="D33" s="88" t="s">
        <v>30</v>
      </c>
      <c r="E33" s="89">
        <f>IF(D33='[1]Priority Ratings'!$C$21,'[1]Priority Ratings'!$B$21,IF(D33='[1]Priority Ratings'!$C$22,'[1]Priority Ratings'!$B$22,IF(D33='[1]Priority Ratings'!$C$23,'[1]Priority Ratings'!$B$23,IF(D33='[1]Priority Ratings'!$C$24,'[1]Priority Ratings'!$B$24,IF(D33='[1]Priority Ratings'!$C$25,'[1]Priority Ratings'!$B$25,IF(D33='[1]Priority Ratings'!$C$26,'[1]Priority Ratings'!$B$26,IF(D33='[1]Priority Ratings'!$C$27,'[1]Priority Ratings'!$B$27,"No Rating")))))))</f>
        <v>5</v>
      </c>
      <c r="F33" s="90">
        <f t="shared" si="0"/>
        <v>3.937007874015748E-2</v>
      </c>
      <c r="G33" s="91" t="s">
        <v>31</v>
      </c>
      <c r="H33" s="92"/>
      <c r="I33" s="90">
        <f t="shared" si="1"/>
        <v>0</v>
      </c>
      <c r="J33" s="93"/>
      <c r="K33" s="59" t="s">
        <v>42</v>
      </c>
      <c r="L33" s="59" t="s">
        <v>109</v>
      </c>
      <c r="M33" s="59"/>
      <c r="N33" s="59"/>
      <c r="O33" s="59"/>
      <c r="P33" s="59"/>
      <c r="Q33" s="5">
        <v>2</v>
      </c>
    </row>
    <row r="34" spans="1:17" ht="84">
      <c r="A34" s="94">
        <v>22</v>
      </c>
      <c r="B34" s="87" t="s">
        <v>110</v>
      </c>
      <c r="C34" s="87" t="s">
        <v>111</v>
      </c>
      <c r="D34" s="88" t="s">
        <v>30</v>
      </c>
      <c r="E34" s="89">
        <f>IF(D34='[1]Priority Ratings'!$C$21,'[1]Priority Ratings'!$B$21,IF(D34='[1]Priority Ratings'!$C$22,'[1]Priority Ratings'!$B$22,IF(D34='[1]Priority Ratings'!$C$23,'[1]Priority Ratings'!$B$23,IF(D34='[1]Priority Ratings'!$C$24,'[1]Priority Ratings'!$B$24,IF(D34='[1]Priority Ratings'!$C$25,'[1]Priority Ratings'!$B$25,IF(D34='[1]Priority Ratings'!$C$26,'[1]Priority Ratings'!$B$26,IF(D34='[1]Priority Ratings'!$C$27,'[1]Priority Ratings'!$B$27,"No Rating")))))))</f>
        <v>5</v>
      </c>
      <c r="F34" s="90">
        <f t="shared" si="0"/>
        <v>3.937007874015748E-2</v>
      </c>
      <c r="G34" s="91" t="s">
        <v>31</v>
      </c>
      <c r="H34" s="92"/>
      <c r="I34" s="90">
        <f t="shared" si="1"/>
        <v>0</v>
      </c>
      <c r="J34" s="93"/>
      <c r="K34" s="59" t="s">
        <v>38</v>
      </c>
      <c r="L34" s="59" t="s">
        <v>112</v>
      </c>
      <c r="M34" s="59"/>
      <c r="N34" s="59"/>
      <c r="O34" s="59"/>
      <c r="P34" s="59"/>
    </row>
    <row r="35" spans="1:17" ht="96">
      <c r="A35" s="74">
        <v>23</v>
      </c>
      <c r="B35" s="87" t="s">
        <v>113</v>
      </c>
      <c r="C35" s="87" t="s">
        <v>114</v>
      </c>
      <c r="D35" s="88" t="s">
        <v>30</v>
      </c>
      <c r="E35" s="89">
        <f>IF(D35='[1]Priority Ratings'!$C$21,'[1]Priority Ratings'!$B$21,IF(D35='[1]Priority Ratings'!$C$22,'[1]Priority Ratings'!$B$22,IF(D35='[1]Priority Ratings'!$C$23,'[1]Priority Ratings'!$B$23,IF(D35='[1]Priority Ratings'!$C$24,'[1]Priority Ratings'!$B$24,IF(D35='[1]Priority Ratings'!$C$25,'[1]Priority Ratings'!$B$25,IF(D35='[1]Priority Ratings'!$C$26,'[1]Priority Ratings'!$B$26,IF(D35='[1]Priority Ratings'!$C$27,'[1]Priority Ratings'!$B$27,"No Rating")))))))</f>
        <v>5</v>
      </c>
      <c r="F35" s="90">
        <f t="shared" si="0"/>
        <v>3.937007874015748E-2</v>
      </c>
      <c r="G35" s="91" t="s">
        <v>31</v>
      </c>
      <c r="H35" s="92"/>
      <c r="I35" s="90">
        <f t="shared" si="1"/>
        <v>0</v>
      </c>
      <c r="J35" s="93"/>
      <c r="K35" s="59" t="s">
        <v>32</v>
      </c>
      <c r="L35" s="59" t="s">
        <v>115</v>
      </c>
      <c r="M35" s="59" t="s">
        <v>33</v>
      </c>
      <c r="N35" s="59"/>
      <c r="O35" s="59" t="s">
        <v>116</v>
      </c>
      <c r="P35" s="59"/>
      <c r="Q35" s="5">
        <v>6</v>
      </c>
    </row>
    <row r="36" spans="1:17" ht="50.1">
      <c r="A36" s="94">
        <v>24</v>
      </c>
      <c r="B36" s="87" t="s">
        <v>117</v>
      </c>
      <c r="C36" s="87" t="s">
        <v>118</v>
      </c>
      <c r="D36" s="88" t="s">
        <v>30</v>
      </c>
      <c r="E36" s="89">
        <f>IF(D36='[1]Priority Ratings'!$C$21,'[1]Priority Ratings'!$B$21,IF(D36='[1]Priority Ratings'!$C$22,'[1]Priority Ratings'!$B$22,IF(D36='[1]Priority Ratings'!$C$23,'[1]Priority Ratings'!$B$23,IF(D36='[1]Priority Ratings'!$C$24,'[1]Priority Ratings'!$B$24,IF(D36='[1]Priority Ratings'!$C$25,'[1]Priority Ratings'!$B$25,IF(D36='[1]Priority Ratings'!$C$26,'[1]Priority Ratings'!$B$26,IF(D36='[1]Priority Ratings'!$C$27,'[1]Priority Ratings'!$B$27,"No Rating")))))))</f>
        <v>5</v>
      </c>
      <c r="F36" s="90">
        <f t="shared" si="0"/>
        <v>3.937007874015748E-2</v>
      </c>
      <c r="G36" s="91" t="s">
        <v>31</v>
      </c>
      <c r="H36" s="92"/>
      <c r="I36" s="90">
        <f t="shared" si="1"/>
        <v>0</v>
      </c>
      <c r="J36" s="93"/>
      <c r="K36" s="59" t="s">
        <v>32</v>
      </c>
      <c r="L36" s="59" t="s">
        <v>119</v>
      </c>
      <c r="M36" s="59" t="s">
        <v>48</v>
      </c>
      <c r="N36" s="59"/>
      <c r="O36" s="59" t="s">
        <v>120</v>
      </c>
      <c r="P36" s="59"/>
      <c r="Q36" s="5">
        <v>2</v>
      </c>
    </row>
    <row r="37" spans="1:17" ht="50.1">
      <c r="A37" s="94">
        <v>26</v>
      </c>
      <c r="B37" s="198" t="s">
        <v>121</v>
      </c>
      <c r="C37" s="87" t="s">
        <v>122</v>
      </c>
      <c r="D37" s="88" t="s">
        <v>88</v>
      </c>
      <c r="E37" s="89">
        <f>IF(D37='[1]Priority Ratings'!$C$21,'[1]Priority Ratings'!$B$21,IF(D37='[1]Priority Ratings'!$C$22,'[1]Priority Ratings'!$B$22,IF(D37='[1]Priority Ratings'!$C$23,'[1]Priority Ratings'!$B$23,IF(D37='[1]Priority Ratings'!$C$24,'[1]Priority Ratings'!$B$24,IF(D37='[1]Priority Ratings'!$C$25,'[1]Priority Ratings'!$B$25,IF(D37='[1]Priority Ratings'!$C$26,'[1]Priority Ratings'!$B$26,IF(D37='[1]Priority Ratings'!$C$27,'[1]Priority Ratings'!$B$27,"No Rating")))))))</f>
        <v>1</v>
      </c>
      <c r="F37" s="90">
        <f t="shared" si="0"/>
        <v>7.874015748031496E-3</v>
      </c>
      <c r="G37" s="91" t="s">
        <v>31</v>
      </c>
      <c r="H37" s="92"/>
      <c r="I37" s="90">
        <f t="shared" si="1"/>
        <v>0</v>
      </c>
      <c r="J37" s="93"/>
      <c r="K37" s="59" t="s">
        <v>38</v>
      </c>
      <c r="L37" s="59" t="s">
        <v>123</v>
      </c>
      <c r="M37" s="59"/>
      <c r="N37" s="59"/>
      <c r="O37" s="59"/>
      <c r="P37" s="59"/>
      <c r="Q37" s="5">
        <v>1</v>
      </c>
    </row>
    <row r="38" spans="1:17" ht="50.1">
      <c r="A38" s="74">
        <v>27</v>
      </c>
      <c r="B38" s="198"/>
      <c r="C38" s="87" t="s">
        <v>124</v>
      </c>
      <c r="D38" s="88" t="s">
        <v>88</v>
      </c>
      <c r="E38" s="89">
        <f>IF(D38='[1]Priority Ratings'!$C$21,'[1]Priority Ratings'!$B$21,IF(D38='[1]Priority Ratings'!$C$22,'[1]Priority Ratings'!$B$22,IF(D38='[1]Priority Ratings'!$C$23,'[1]Priority Ratings'!$B$23,IF(D38='[1]Priority Ratings'!$C$24,'[1]Priority Ratings'!$B$24,IF(D38='[1]Priority Ratings'!$C$25,'[1]Priority Ratings'!$B$25,IF(D38='[1]Priority Ratings'!$C$26,'[1]Priority Ratings'!$B$26,IF(D38='[1]Priority Ratings'!$C$27,'[1]Priority Ratings'!$B$27,"No Rating")))))))</f>
        <v>1</v>
      </c>
      <c r="F38" s="90">
        <f t="shared" si="0"/>
        <v>7.874015748031496E-3</v>
      </c>
      <c r="G38" s="91" t="s">
        <v>31</v>
      </c>
      <c r="H38" s="92"/>
      <c r="I38" s="90">
        <f t="shared" si="1"/>
        <v>0</v>
      </c>
      <c r="J38" s="93"/>
      <c r="K38" s="59" t="s">
        <v>38</v>
      </c>
      <c r="L38" s="59" t="s">
        <v>125</v>
      </c>
      <c r="M38" s="59"/>
      <c r="N38" s="59"/>
      <c r="O38" s="59"/>
      <c r="P38" s="59"/>
      <c r="Q38" s="5">
        <v>1</v>
      </c>
    </row>
    <row r="39" spans="1:17" ht="50.1">
      <c r="A39" s="94">
        <v>28</v>
      </c>
      <c r="B39" s="198"/>
      <c r="C39" s="96" t="s">
        <v>126</v>
      </c>
      <c r="D39" s="88" t="s">
        <v>88</v>
      </c>
      <c r="E39" s="89">
        <f>IF(D39='[1]Priority Ratings'!$C$21,'[1]Priority Ratings'!$B$21,IF(D39='[1]Priority Ratings'!$C$22,'[1]Priority Ratings'!$B$22,IF(D39='[1]Priority Ratings'!$C$23,'[1]Priority Ratings'!$B$23,IF(D39='[1]Priority Ratings'!$C$24,'[1]Priority Ratings'!$B$24,IF(D39='[1]Priority Ratings'!$C$25,'[1]Priority Ratings'!$B$25,IF(D39='[1]Priority Ratings'!$C$26,'[1]Priority Ratings'!$B$26,IF(D39='[1]Priority Ratings'!$C$27,'[1]Priority Ratings'!$B$27,"No Rating")))))))</f>
        <v>1</v>
      </c>
      <c r="F39" s="90">
        <f t="shared" si="0"/>
        <v>7.874015748031496E-3</v>
      </c>
      <c r="G39" s="91" t="s">
        <v>31</v>
      </c>
      <c r="H39" s="92"/>
      <c r="I39" s="90">
        <f t="shared" si="1"/>
        <v>0</v>
      </c>
      <c r="J39" s="93"/>
      <c r="K39" s="59" t="s">
        <v>38</v>
      </c>
      <c r="L39" s="59" t="s">
        <v>127</v>
      </c>
      <c r="M39" s="59"/>
      <c r="N39" s="59"/>
      <c r="O39" s="59"/>
      <c r="P39" s="59"/>
      <c r="Q39" s="5">
        <v>1</v>
      </c>
    </row>
    <row r="40" spans="1:17" ht="50.1">
      <c r="A40" s="74">
        <v>29</v>
      </c>
      <c r="B40" s="198"/>
      <c r="C40" s="87" t="s">
        <v>128</v>
      </c>
      <c r="D40" s="88" t="s">
        <v>88</v>
      </c>
      <c r="E40" s="89">
        <f>IF(D40='[1]Priority Ratings'!$C$21,'[1]Priority Ratings'!$B$21,IF(D40='[1]Priority Ratings'!$C$22,'[1]Priority Ratings'!$B$22,IF(D40='[1]Priority Ratings'!$C$23,'[1]Priority Ratings'!$B$23,IF(D40='[1]Priority Ratings'!$C$24,'[1]Priority Ratings'!$B$24,IF(D40='[1]Priority Ratings'!$C$25,'[1]Priority Ratings'!$B$25,IF(D40='[1]Priority Ratings'!$C$26,'[1]Priority Ratings'!$B$26,IF(D40='[1]Priority Ratings'!$C$27,'[1]Priority Ratings'!$B$27,"No Rating")))))))</f>
        <v>1</v>
      </c>
      <c r="F40" s="90">
        <f t="shared" si="0"/>
        <v>7.874015748031496E-3</v>
      </c>
      <c r="G40" s="91" t="s">
        <v>31</v>
      </c>
      <c r="H40" s="92"/>
      <c r="I40" s="90">
        <f t="shared" si="1"/>
        <v>0</v>
      </c>
      <c r="J40" s="93"/>
      <c r="K40" s="59" t="s">
        <v>38</v>
      </c>
      <c r="L40" s="59" t="s">
        <v>127</v>
      </c>
      <c r="M40" s="59"/>
      <c r="N40" s="59"/>
      <c r="O40" s="59"/>
      <c r="P40" s="59"/>
      <c r="Q40" s="5">
        <v>1</v>
      </c>
    </row>
    <row r="41" spans="1:17" ht="50.1">
      <c r="A41" s="94">
        <v>30</v>
      </c>
      <c r="B41" s="198"/>
      <c r="C41" s="87" t="s">
        <v>129</v>
      </c>
      <c r="D41" s="88" t="s">
        <v>88</v>
      </c>
      <c r="E41" s="89">
        <f>IF(D41='[1]Priority Ratings'!$C$21,'[1]Priority Ratings'!$B$21,IF(D41='[1]Priority Ratings'!$C$22,'[1]Priority Ratings'!$B$22,IF(D41='[1]Priority Ratings'!$C$23,'[1]Priority Ratings'!$B$23,IF(D41='[1]Priority Ratings'!$C$24,'[1]Priority Ratings'!$B$24,IF(D41='[1]Priority Ratings'!$C$25,'[1]Priority Ratings'!$B$25,IF(D41='[1]Priority Ratings'!$C$26,'[1]Priority Ratings'!$B$26,IF(D41='[1]Priority Ratings'!$C$27,'[1]Priority Ratings'!$B$27,"No Rating")))))))</f>
        <v>1</v>
      </c>
      <c r="F41" s="90">
        <f t="shared" si="0"/>
        <v>7.874015748031496E-3</v>
      </c>
      <c r="G41" s="91" t="s">
        <v>31</v>
      </c>
      <c r="H41" s="92"/>
      <c r="I41" s="90">
        <f t="shared" si="1"/>
        <v>0</v>
      </c>
      <c r="J41" s="93"/>
      <c r="K41" s="59" t="s">
        <v>38</v>
      </c>
      <c r="L41" s="59" t="s">
        <v>127</v>
      </c>
      <c r="M41" s="59"/>
      <c r="N41" s="59"/>
      <c r="O41" s="59"/>
      <c r="P41" s="59"/>
      <c r="Q41" s="5">
        <v>1</v>
      </c>
    </row>
    <row r="42" spans="1:17" ht="50.1">
      <c r="A42" s="74">
        <v>31</v>
      </c>
      <c r="B42" s="198"/>
      <c r="C42" s="87" t="s">
        <v>130</v>
      </c>
      <c r="D42" s="88" t="s">
        <v>88</v>
      </c>
      <c r="E42" s="89">
        <f>IF(D42='[1]Priority Ratings'!$C$21,'[1]Priority Ratings'!$B$21,IF(D42='[1]Priority Ratings'!$C$22,'[1]Priority Ratings'!$B$22,IF(D42='[1]Priority Ratings'!$C$23,'[1]Priority Ratings'!$B$23,IF(D42='[1]Priority Ratings'!$C$24,'[1]Priority Ratings'!$B$24,IF(D42='[1]Priority Ratings'!$C$25,'[1]Priority Ratings'!$B$25,IF(D42='[1]Priority Ratings'!$C$26,'[1]Priority Ratings'!$B$26,IF(D42='[1]Priority Ratings'!$C$27,'[1]Priority Ratings'!$B$27,"No Rating")))))))</f>
        <v>1</v>
      </c>
      <c r="F42" s="90">
        <f t="shared" si="0"/>
        <v>7.874015748031496E-3</v>
      </c>
      <c r="G42" s="91" t="s">
        <v>31</v>
      </c>
      <c r="H42" s="92"/>
      <c r="I42" s="90">
        <f t="shared" si="1"/>
        <v>0</v>
      </c>
      <c r="J42" s="93"/>
      <c r="K42" s="59" t="s">
        <v>38</v>
      </c>
      <c r="L42" s="59" t="s">
        <v>131</v>
      </c>
      <c r="M42" s="59"/>
      <c r="N42" s="59"/>
      <c r="O42" s="59"/>
      <c r="P42" s="59"/>
      <c r="Q42" s="5">
        <v>1</v>
      </c>
    </row>
    <row r="43" spans="1:17" ht="50.1">
      <c r="A43" s="94">
        <v>32</v>
      </c>
      <c r="B43" s="198"/>
      <c r="C43" s="87" t="s">
        <v>132</v>
      </c>
      <c r="D43" s="88" t="s">
        <v>88</v>
      </c>
      <c r="E43" s="89">
        <f>IF(D43='[1]Priority Ratings'!$C$21,'[1]Priority Ratings'!$B$21,IF(D43='[1]Priority Ratings'!$C$22,'[1]Priority Ratings'!$B$22,IF(D43='[1]Priority Ratings'!$C$23,'[1]Priority Ratings'!$B$23,IF(D43='[1]Priority Ratings'!$C$24,'[1]Priority Ratings'!$B$24,IF(D43='[1]Priority Ratings'!$C$25,'[1]Priority Ratings'!$B$25,IF(D43='[1]Priority Ratings'!$C$26,'[1]Priority Ratings'!$B$26,IF(D43='[1]Priority Ratings'!$C$27,'[1]Priority Ratings'!$B$27,"No Rating")))))))</f>
        <v>1</v>
      </c>
      <c r="F43" s="90">
        <f t="shared" si="0"/>
        <v>7.874015748031496E-3</v>
      </c>
      <c r="G43" s="91" t="s">
        <v>31</v>
      </c>
      <c r="H43" s="92"/>
      <c r="I43" s="90">
        <f t="shared" si="1"/>
        <v>0</v>
      </c>
      <c r="J43" s="93"/>
      <c r="K43" s="59" t="s">
        <v>38</v>
      </c>
      <c r="L43" s="59" t="s">
        <v>127</v>
      </c>
      <c r="M43" s="59"/>
      <c r="N43" s="59"/>
      <c r="O43" s="59"/>
      <c r="P43" s="59"/>
      <c r="Q43" s="5">
        <v>1</v>
      </c>
    </row>
    <row r="44" spans="1:17" ht="50.1">
      <c r="A44" s="94">
        <v>34</v>
      </c>
      <c r="B44" s="198" t="s">
        <v>133</v>
      </c>
      <c r="C44" s="87" t="s">
        <v>134</v>
      </c>
      <c r="D44" s="88" t="s">
        <v>88</v>
      </c>
      <c r="E44" s="89">
        <f>IF(D44='[1]Priority Ratings'!$C$21,'[1]Priority Ratings'!$B$21,IF(D44='[1]Priority Ratings'!$C$22,'[1]Priority Ratings'!$B$22,IF(D44='[1]Priority Ratings'!$C$23,'[1]Priority Ratings'!$B$23,IF(D44='[1]Priority Ratings'!$C$24,'[1]Priority Ratings'!$B$24,IF(D44='[1]Priority Ratings'!$C$25,'[1]Priority Ratings'!$B$25,IF(D44='[1]Priority Ratings'!$C$26,'[1]Priority Ratings'!$B$26,IF(D44='[1]Priority Ratings'!$C$27,'[1]Priority Ratings'!$B$27,"No Rating")))))))</f>
        <v>1</v>
      </c>
      <c r="F44" s="90">
        <f t="shared" si="0"/>
        <v>7.874015748031496E-3</v>
      </c>
      <c r="G44" s="91" t="s">
        <v>31</v>
      </c>
      <c r="H44" s="92"/>
      <c r="I44" s="90">
        <f t="shared" si="1"/>
        <v>0</v>
      </c>
      <c r="J44" s="93"/>
      <c r="K44" s="59" t="s">
        <v>38</v>
      </c>
      <c r="L44" s="59" t="s">
        <v>127</v>
      </c>
      <c r="M44" s="59"/>
      <c r="N44" s="59"/>
      <c r="O44" s="59"/>
      <c r="P44" s="59"/>
    </row>
    <row r="45" spans="1:17" ht="50.1">
      <c r="A45" s="74">
        <v>35</v>
      </c>
      <c r="B45" s="198"/>
      <c r="C45" s="87" t="s">
        <v>135</v>
      </c>
      <c r="D45" s="88" t="s">
        <v>88</v>
      </c>
      <c r="E45" s="89">
        <f>IF(D45='[1]Priority Ratings'!$C$21,'[1]Priority Ratings'!$B$21,IF(D45='[1]Priority Ratings'!$C$22,'[1]Priority Ratings'!$B$22,IF(D45='[1]Priority Ratings'!$C$23,'[1]Priority Ratings'!$B$23,IF(D45='[1]Priority Ratings'!$C$24,'[1]Priority Ratings'!$B$24,IF(D45='[1]Priority Ratings'!$C$25,'[1]Priority Ratings'!$B$25,IF(D45='[1]Priority Ratings'!$C$26,'[1]Priority Ratings'!$B$26,IF(D45='[1]Priority Ratings'!$C$27,'[1]Priority Ratings'!$B$27,"No Rating")))))))</f>
        <v>1</v>
      </c>
      <c r="F45" s="90">
        <f t="shared" si="0"/>
        <v>7.874015748031496E-3</v>
      </c>
      <c r="G45" s="91" t="s">
        <v>31</v>
      </c>
      <c r="H45" s="92"/>
      <c r="I45" s="90">
        <f t="shared" si="1"/>
        <v>0</v>
      </c>
      <c r="J45" s="93"/>
      <c r="K45" s="59" t="s">
        <v>38</v>
      </c>
      <c r="L45" s="59" t="s">
        <v>127</v>
      </c>
      <c r="M45" s="59"/>
      <c r="N45" s="59"/>
      <c r="O45" s="59"/>
      <c r="P45" s="59"/>
      <c r="Q45" s="5" t="s">
        <v>60</v>
      </c>
    </row>
    <row r="46" spans="1:17" ht="50.1">
      <c r="A46" s="94">
        <v>36</v>
      </c>
      <c r="B46" s="198"/>
      <c r="C46" s="87" t="s">
        <v>136</v>
      </c>
      <c r="D46" s="88" t="s">
        <v>88</v>
      </c>
      <c r="E46" s="89">
        <f>IF(D46='[1]Priority Ratings'!$C$21,'[1]Priority Ratings'!$B$21,IF(D46='[1]Priority Ratings'!$C$22,'[1]Priority Ratings'!$B$22,IF(D46='[1]Priority Ratings'!$C$23,'[1]Priority Ratings'!$B$23,IF(D46='[1]Priority Ratings'!$C$24,'[1]Priority Ratings'!$B$24,IF(D46='[1]Priority Ratings'!$C$25,'[1]Priority Ratings'!$B$25,IF(D46='[1]Priority Ratings'!$C$26,'[1]Priority Ratings'!$B$26,IF(D46='[1]Priority Ratings'!$C$27,'[1]Priority Ratings'!$B$27,"No Rating")))))))</f>
        <v>1</v>
      </c>
      <c r="F46" s="90">
        <f t="shared" si="0"/>
        <v>7.874015748031496E-3</v>
      </c>
      <c r="G46" s="91" t="s">
        <v>31</v>
      </c>
      <c r="H46" s="92"/>
      <c r="I46" s="90">
        <f t="shared" si="1"/>
        <v>0</v>
      </c>
      <c r="J46" s="93"/>
      <c r="K46" s="59" t="s">
        <v>38</v>
      </c>
      <c r="L46" s="59" t="s">
        <v>127</v>
      </c>
      <c r="M46" s="59"/>
      <c r="N46" s="59"/>
      <c r="O46" s="59"/>
      <c r="P46" s="59"/>
      <c r="Q46" s="5" t="s">
        <v>60</v>
      </c>
    </row>
    <row r="47" spans="1:17" ht="50.1">
      <c r="A47" s="74">
        <v>37</v>
      </c>
      <c r="B47" s="198"/>
      <c r="C47" s="87" t="s">
        <v>137</v>
      </c>
      <c r="D47" s="88" t="s">
        <v>88</v>
      </c>
      <c r="E47" s="89">
        <f>IF(D47='[1]Priority Ratings'!$C$21,'[1]Priority Ratings'!$B$21,IF(D47='[1]Priority Ratings'!$C$22,'[1]Priority Ratings'!$B$22,IF(D47='[1]Priority Ratings'!$C$23,'[1]Priority Ratings'!$B$23,IF(D47='[1]Priority Ratings'!$C$24,'[1]Priority Ratings'!$B$24,IF(D47='[1]Priority Ratings'!$C$25,'[1]Priority Ratings'!$B$25,IF(D47='[1]Priority Ratings'!$C$26,'[1]Priority Ratings'!$B$26,IF(D47='[1]Priority Ratings'!$C$27,'[1]Priority Ratings'!$B$27,"No Rating")))))))</f>
        <v>1</v>
      </c>
      <c r="F47" s="90">
        <f t="shared" si="0"/>
        <v>7.874015748031496E-3</v>
      </c>
      <c r="G47" s="91" t="s">
        <v>31</v>
      </c>
      <c r="H47" s="92"/>
      <c r="I47" s="90">
        <f t="shared" si="1"/>
        <v>0</v>
      </c>
      <c r="J47" s="93"/>
      <c r="K47" s="59" t="s">
        <v>38</v>
      </c>
      <c r="L47" s="59" t="s">
        <v>127</v>
      </c>
      <c r="M47" s="59"/>
      <c r="N47" s="59"/>
      <c r="O47" s="59"/>
      <c r="P47" s="59"/>
      <c r="Q47" s="5">
        <v>1</v>
      </c>
    </row>
    <row r="48" spans="1:17" ht="50.1">
      <c r="A48" s="94">
        <v>38</v>
      </c>
      <c r="B48" s="95" t="s">
        <v>138</v>
      </c>
      <c r="C48" s="87" t="s">
        <v>139</v>
      </c>
      <c r="D48" s="88" t="s">
        <v>88</v>
      </c>
      <c r="E48" s="89">
        <f>IF(D48='[1]Priority Ratings'!$C$21,'[1]Priority Ratings'!$B$21,IF(D48='[1]Priority Ratings'!$C$22,'[1]Priority Ratings'!$B$22,IF(D48='[1]Priority Ratings'!$C$23,'[1]Priority Ratings'!$B$23,IF(D48='[1]Priority Ratings'!$C$24,'[1]Priority Ratings'!$B$24,IF(D48='[1]Priority Ratings'!$C$25,'[1]Priority Ratings'!$B$25,IF(D48='[1]Priority Ratings'!$C$26,'[1]Priority Ratings'!$B$26,IF(D48='[1]Priority Ratings'!$C$27,'[1]Priority Ratings'!$B$27,"No Rating")))))))</f>
        <v>1</v>
      </c>
      <c r="F48" s="90">
        <f t="shared" si="0"/>
        <v>7.874015748031496E-3</v>
      </c>
      <c r="G48" s="91" t="s">
        <v>31</v>
      </c>
      <c r="H48" s="92"/>
      <c r="I48" s="90">
        <f t="shared" si="1"/>
        <v>0</v>
      </c>
      <c r="J48" s="93"/>
      <c r="K48" s="59" t="s">
        <v>32</v>
      </c>
      <c r="L48" s="59" t="s">
        <v>140</v>
      </c>
      <c r="M48" s="59" t="s">
        <v>48</v>
      </c>
      <c r="N48" s="59"/>
      <c r="O48" s="59" t="s">
        <v>141</v>
      </c>
      <c r="P48" s="59"/>
      <c r="Q48" s="5">
        <v>3</v>
      </c>
    </row>
    <row r="49" spans="1:17" ht="50.1">
      <c r="A49" s="94">
        <v>40</v>
      </c>
      <c r="B49" s="95" t="s">
        <v>142</v>
      </c>
      <c r="C49" s="87" t="s">
        <v>143</v>
      </c>
      <c r="D49" s="88" t="s">
        <v>88</v>
      </c>
      <c r="E49" s="89">
        <f>IF(D49='[1]Priority Ratings'!$C$21,'[1]Priority Ratings'!$B$21,IF(D49='[1]Priority Ratings'!$C$22,'[1]Priority Ratings'!$B$22,IF(D49='[1]Priority Ratings'!$C$23,'[1]Priority Ratings'!$B$23,IF(D49='[1]Priority Ratings'!$C$24,'[1]Priority Ratings'!$B$24,IF(D49='[1]Priority Ratings'!$C$25,'[1]Priority Ratings'!$B$25,IF(D49='[1]Priority Ratings'!$C$26,'[1]Priority Ratings'!$B$26,IF(D49='[1]Priority Ratings'!$C$27,'[1]Priority Ratings'!$B$27,"No Rating")))))))</f>
        <v>1</v>
      </c>
      <c r="F49" s="90">
        <f t="shared" si="0"/>
        <v>7.874015748031496E-3</v>
      </c>
      <c r="G49" s="91" t="s">
        <v>31</v>
      </c>
      <c r="H49" s="92"/>
      <c r="I49" s="90">
        <f t="shared" si="1"/>
        <v>0</v>
      </c>
      <c r="J49" s="93"/>
      <c r="K49" s="59" t="s">
        <v>38</v>
      </c>
      <c r="L49" s="59" t="s">
        <v>127</v>
      </c>
      <c r="M49" s="59"/>
      <c r="N49" s="59"/>
      <c r="O49" s="59"/>
      <c r="P49" s="59"/>
      <c r="Q49" s="5">
        <v>1</v>
      </c>
    </row>
    <row r="50" spans="1:17" ht="50.1">
      <c r="A50" s="74">
        <v>41</v>
      </c>
      <c r="B50" s="95" t="s">
        <v>144</v>
      </c>
      <c r="C50" s="87" t="s">
        <v>145</v>
      </c>
      <c r="D50" s="88" t="s">
        <v>88</v>
      </c>
      <c r="E50" s="89">
        <f>IF(D50='[1]Priority Ratings'!$C$21,'[1]Priority Ratings'!$B$21,IF(D50='[1]Priority Ratings'!$C$22,'[1]Priority Ratings'!$B$22,IF(D50='[1]Priority Ratings'!$C$23,'[1]Priority Ratings'!$B$23,IF(D50='[1]Priority Ratings'!$C$24,'[1]Priority Ratings'!$B$24,IF(D50='[1]Priority Ratings'!$C$25,'[1]Priority Ratings'!$B$25,IF(D50='[1]Priority Ratings'!$C$26,'[1]Priority Ratings'!$B$26,IF(D50='[1]Priority Ratings'!$C$27,'[1]Priority Ratings'!$B$27,"No Rating")))))))</f>
        <v>1</v>
      </c>
      <c r="F50" s="90">
        <f t="shared" si="0"/>
        <v>7.874015748031496E-3</v>
      </c>
      <c r="G50" s="91" t="s">
        <v>31</v>
      </c>
      <c r="H50" s="92"/>
      <c r="I50" s="90">
        <f t="shared" si="1"/>
        <v>0</v>
      </c>
      <c r="J50" s="93"/>
      <c r="K50" s="59" t="s">
        <v>38</v>
      </c>
      <c r="L50" s="59" t="s">
        <v>127</v>
      </c>
      <c r="M50" s="59"/>
      <c r="N50" s="59"/>
      <c r="O50" s="59"/>
      <c r="P50" s="59"/>
      <c r="Q50" s="5">
        <v>2</v>
      </c>
    </row>
    <row r="51" spans="1:17" ht="50.1">
      <c r="A51" s="94">
        <v>42</v>
      </c>
      <c r="B51" s="95" t="s">
        <v>142</v>
      </c>
      <c r="C51" s="87" t="s">
        <v>146</v>
      </c>
      <c r="D51" s="88" t="s">
        <v>88</v>
      </c>
      <c r="E51" s="89">
        <f>IF(D51='[1]Priority Ratings'!$C$21,'[1]Priority Ratings'!$B$21,IF(D51='[1]Priority Ratings'!$C$22,'[1]Priority Ratings'!$B$22,IF(D51='[1]Priority Ratings'!$C$23,'[1]Priority Ratings'!$B$23,IF(D51='[1]Priority Ratings'!$C$24,'[1]Priority Ratings'!$B$24,IF(D51='[1]Priority Ratings'!$C$25,'[1]Priority Ratings'!$B$25,IF(D51='[1]Priority Ratings'!$C$26,'[1]Priority Ratings'!$B$26,IF(D51='[1]Priority Ratings'!$C$27,'[1]Priority Ratings'!$B$27,"No Rating")))))))</f>
        <v>1</v>
      </c>
      <c r="F51" s="90">
        <f t="shared" si="0"/>
        <v>7.874015748031496E-3</v>
      </c>
      <c r="G51" s="91" t="s">
        <v>31</v>
      </c>
      <c r="H51" s="92"/>
      <c r="I51" s="90">
        <f t="shared" si="1"/>
        <v>0</v>
      </c>
      <c r="J51" s="93"/>
      <c r="K51" s="59" t="s">
        <v>38</v>
      </c>
      <c r="L51" s="59" t="s">
        <v>127</v>
      </c>
      <c r="M51" s="59"/>
      <c r="N51" s="59"/>
      <c r="O51" s="59"/>
      <c r="P51" s="59"/>
      <c r="Q51" s="5">
        <v>1</v>
      </c>
    </row>
    <row r="52" spans="1:17" ht="50.1">
      <c r="A52" s="74">
        <v>43</v>
      </c>
      <c r="B52" s="95" t="s">
        <v>144</v>
      </c>
      <c r="C52" s="87" t="s">
        <v>147</v>
      </c>
      <c r="D52" s="88" t="s">
        <v>88</v>
      </c>
      <c r="E52" s="89">
        <f>IF(D52='[1]Priority Ratings'!$C$21,'[1]Priority Ratings'!$B$21,IF(D52='[1]Priority Ratings'!$C$22,'[1]Priority Ratings'!$B$22,IF(D52='[1]Priority Ratings'!$C$23,'[1]Priority Ratings'!$B$23,IF(D52='[1]Priority Ratings'!$C$24,'[1]Priority Ratings'!$B$24,IF(D52='[1]Priority Ratings'!$C$25,'[1]Priority Ratings'!$B$25,IF(D52='[1]Priority Ratings'!$C$26,'[1]Priority Ratings'!$B$26,IF(D52='[1]Priority Ratings'!$C$27,'[1]Priority Ratings'!$B$27,"No Rating")))))))</f>
        <v>1</v>
      </c>
      <c r="F52" s="90">
        <f t="shared" si="0"/>
        <v>7.874015748031496E-3</v>
      </c>
      <c r="G52" s="91" t="s">
        <v>31</v>
      </c>
      <c r="H52" s="92"/>
      <c r="I52" s="90">
        <f t="shared" si="1"/>
        <v>0</v>
      </c>
      <c r="J52" s="93"/>
      <c r="K52" s="59" t="s">
        <v>38</v>
      </c>
      <c r="L52" s="59" t="s">
        <v>127</v>
      </c>
      <c r="M52" s="59"/>
      <c r="N52" s="59"/>
      <c r="O52" s="59"/>
      <c r="P52" s="59"/>
      <c r="Q52" s="5">
        <v>1</v>
      </c>
    </row>
    <row r="53" spans="1:17" ht="50.1">
      <c r="A53" s="94">
        <v>44</v>
      </c>
      <c r="B53" s="95" t="s">
        <v>142</v>
      </c>
      <c r="C53" s="87" t="s">
        <v>148</v>
      </c>
      <c r="D53" s="88" t="s">
        <v>88</v>
      </c>
      <c r="E53" s="89">
        <f>IF(D53='[1]Priority Ratings'!$C$21,'[1]Priority Ratings'!$B$21,IF(D53='[1]Priority Ratings'!$C$22,'[1]Priority Ratings'!$B$22,IF(D53='[1]Priority Ratings'!$C$23,'[1]Priority Ratings'!$B$23,IF(D53='[1]Priority Ratings'!$C$24,'[1]Priority Ratings'!$B$24,IF(D53='[1]Priority Ratings'!$C$25,'[1]Priority Ratings'!$B$25,IF(D53='[1]Priority Ratings'!$C$26,'[1]Priority Ratings'!$B$26,IF(D53='[1]Priority Ratings'!$C$27,'[1]Priority Ratings'!$B$27,"No Rating")))))))</f>
        <v>1</v>
      </c>
      <c r="F53" s="90">
        <f t="shared" si="0"/>
        <v>7.874015748031496E-3</v>
      </c>
      <c r="G53" s="91" t="s">
        <v>31</v>
      </c>
      <c r="H53" s="92"/>
      <c r="I53" s="90">
        <f t="shared" si="1"/>
        <v>0</v>
      </c>
      <c r="J53" s="93"/>
      <c r="K53" s="59" t="s">
        <v>38</v>
      </c>
      <c r="L53" s="59" t="s">
        <v>127</v>
      </c>
      <c r="M53" s="59"/>
      <c r="N53" s="59"/>
      <c r="O53" s="59"/>
      <c r="P53" s="59"/>
      <c r="Q53" s="5">
        <v>3</v>
      </c>
    </row>
    <row r="54" spans="1:17" ht="50.1">
      <c r="A54" s="74">
        <v>45</v>
      </c>
      <c r="B54" s="95" t="s">
        <v>142</v>
      </c>
      <c r="C54" s="87" t="s">
        <v>149</v>
      </c>
      <c r="D54" s="88" t="s">
        <v>88</v>
      </c>
      <c r="E54" s="89">
        <f>IF(D54='[1]Priority Ratings'!$C$21,'[1]Priority Ratings'!$B$21,IF(D54='[1]Priority Ratings'!$C$22,'[1]Priority Ratings'!$B$22,IF(D54='[1]Priority Ratings'!$C$23,'[1]Priority Ratings'!$B$23,IF(D54='[1]Priority Ratings'!$C$24,'[1]Priority Ratings'!$B$24,IF(D54='[1]Priority Ratings'!$C$25,'[1]Priority Ratings'!$B$25,IF(D54='[1]Priority Ratings'!$C$26,'[1]Priority Ratings'!$B$26,IF(D54='[1]Priority Ratings'!$C$27,'[1]Priority Ratings'!$B$27,"No Rating")))))))</f>
        <v>1</v>
      </c>
      <c r="F54" s="90">
        <f t="shared" si="0"/>
        <v>7.874015748031496E-3</v>
      </c>
      <c r="G54" s="91" t="s">
        <v>31</v>
      </c>
      <c r="H54" s="92"/>
      <c r="I54" s="90">
        <f t="shared" si="1"/>
        <v>0</v>
      </c>
      <c r="J54" s="93"/>
      <c r="K54" s="59" t="s">
        <v>38</v>
      </c>
      <c r="L54" s="59" t="s">
        <v>127</v>
      </c>
      <c r="M54" s="59"/>
      <c r="N54" s="59"/>
      <c r="O54" s="59"/>
      <c r="P54" s="59"/>
      <c r="Q54" s="5">
        <v>3</v>
      </c>
    </row>
    <row r="55" spans="1:17" ht="50.1">
      <c r="A55" s="94">
        <v>46</v>
      </c>
      <c r="B55" s="95" t="s">
        <v>138</v>
      </c>
      <c r="C55" s="87" t="s">
        <v>150</v>
      </c>
      <c r="D55" s="88" t="s">
        <v>88</v>
      </c>
      <c r="E55" s="89">
        <f>IF(D55='[1]Priority Ratings'!$C$21,'[1]Priority Ratings'!$B$21,IF(D55='[1]Priority Ratings'!$C$22,'[1]Priority Ratings'!$B$22,IF(D55='[1]Priority Ratings'!$C$23,'[1]Priority Ratings'!$B$23,IF(D55='[1]Priority Ratings'!$C$24,'[1]Priority Ratings'!$B$24,IF(D55='[1]Priority Ratings'!$C$25,'[1]Priority Ratings'!$B$25,IF(D55='[1]Priority Ratings'!$C$26,'[1]Priority Ratings'!$B$26,IF(D55='[1]Priority Ratings'!$C$27,'[1]Priority Ratings'!$B$27,"No Rating")))))))</f>
        <v>1</v>
      </c>
      <c r="F55" s="90">
        <f t="shared" si="0"/>
        <v>7.874015748031496E-3</v>
      </c>
      <c r="G55" s="91" t="s">
        <v>31</v>
      </c>
      <c r="H55" s="92"/>
      <c r="I55" s="90">
        <f t="shared" si="1"/>
        <v>0</v>
      </c>
      <c r="J55" s="93"/>
      <c r="K55" s="59" t="s">
        <v>38</v>
      </c>
      <c r="L55" s="59" t="s">
        <v>151</v>
      </c>
      <c r="M55" s="59"/>
      <c r="N55" s="59"/>
      <c r="O55" s="59"/>
      <c r="P55" s="59"/>
      <c r="Q55" s="5">
        <v>0</v>
      </c>
    </row>
    <row r="56" spans="1:17" ht="50.1">
      <c r="A56" s="74">
        <v>47</v>
      </c>
      <c r="B56" s="95" t="s">
        <v>138</v>
      </c>
      <c r="C56" s="87" t="s">
        <v>152</v>
      </c>
      <c r="D56" s="88" t="s">
        <v>88</v>
      </c>
      <c r="E56" s="89">
        <f>IF(D56='[1]Priority Ratings'!$C$21,'[1]Priority Ratings'!$B$21,IF(D56='[1]Priority Ratings'!$C$22,'[1]Priority Ratings'!$B$22,IF(D56='[1]Priority Ratings'!$C$23,'[1]Priority Ratings'!$B$23,IF(D56='[1]Priority Ratings'!$C$24,'[1]Priority Ratings'!$B$24,IF(D56='[1]Priority Ratings'!$C$25,'[1]Priority Ratings'!$B$25,IF(D56='[1]Priority Ratings'!$C$26,'[1]Priority Ratings'!$B$26,IF(D56='[1]Priority Ratings'!$C$27,'[1]Priority Ratings'!$B$27,"No Rating")))))))</f>
        <v>1</v>
      </c>
      <c r="F56" s="90">
        <f t="shared" si="0"/>
        <v>7.874015748031496E-3</v>
      </c>
      <c r="G56" s="91" t="s">
        <v>31</v>
      </c>
      <c r="H56" s="92"/>
      <c r="I56" s="90">
        <f t="shared" si="1"/>
        <v>0</v>
      </c>
      <c r="J56" s="93"/>
      <c r="K56" s="59" t="s">
        <v>42</v>
      </c>
      <c r="L56" s="59" t="s">
        <v>153</v>
      </c>
      <c r="M56" s="59" t="s">
        <v>48</v>
      </c>
      <c r="N56" s="59"/>
      <c r="O56" s="59"/>
      <c r="P56" s="59"/>
    </row>
    <row r="57" spans="1:17" ht="50.1">
      <c r="A57" s="94">
        <v>48</v>
      </c>
      <c r="B57" s="87" t="s">
        <v>154</v>
      </c>
      <c r="C57" s="87" t="s">
        <v>155</v>
      </c>
      <c r="D57" s="88" t="s">
        <v>58</v>
      </c>
      <c r="E57" s="89">
        <f>IF(D57='[1]Priority Ratings'!$C$21,'[1]Priority Ratings'!$B$21,IF(D57='[1]Priority Ratings'!$C$22,'[1]Priority Ratings'!$B$22,IF(D57='[1]Priority Ratings'!$C$23,'[1]Priority Ratings'!$B$23,IF(D57='[1]Priority Ratings'!$C$24,'[1]Priority Ratings'!$B$24,IF(D57='[1]Priority Ratings'!$C$25,'[1]Priority Ratings'!$B$25,IF(D57='[1]Priority Ratings'!$C$26,'[1]Priority Ratings'!$B$26,IF(D57='[1]Priority Ratings'!$C$27,'[1]Priority Ratings'!$B$27,"No Rating")))))))</f>
        <v>3</v>
      </c>
      <c r="F57" s="90">
        <f t="shared" si="0"/>
        <v>2.3622047244094488E-2</v>
      </c>
      <c r="G57" s="91" t="s">
        <v>31</v>
      </c>
      <c r="H57" s="92"/>
      <c r="I57" s="90">
        <f t="shared" si="1"/>
        <v>0</v>
      </c>
      <c r="J57" s="93"/>
      <c r="K57" s="59" t="s">
        <v>42</v>
      </c>
      <c r="L57" s="59"/>
      <c r="M57" s="59" t="s">
        <v>156</v>
      </c>
      <c r="N57" s="59"/>
      <c r="O57" s="59" t="s">
        <v>157</v>
      </c>
      <c r="P57" s="59"/>
      <c r="Q57" s="189">
        <v>2</v>
      </c>
    </row>
    <row r="58" spans="1:17">
      <c r="A58" s="40"/>
      <c r="B58" s="41"/>
      <c r="C58" s="40"/>
      <c r="D58" s="40"/>
      <c r="E58" s="40"/>
      <c r="F58" s="40"/>
      <c r="G58" s="40"/>
      <c r="H58" s="40"/>
      <c r="I58" s="42"/>
      <c r="J58" s="43"/>
      <c r="K58" s="59"/>
      <c r="L58" s="59"/>
      <c r="M58" s="59"/>
      <c r="N58" s="59"/>
      <c r="O58" s="59"/>
      <c r="P58" s="59"/>
    </row>
    <row r="59" spans="1:17" ht="15">
      <c r="A59" s="4"/>
      <c r="C59" s="23"/>
      <c r="D59" s="44"/>
      <c r="E59" s="45">
        <f>SUM(E13:E57)</f>
        <v>127</v>
      </c>
      <c r="F59" s="46">
        <f>SUM(F13:F57)</f>
        <v>0.99999999999999967</v>
      </c>
      <c r="G59" s="47"/>
      <c r="H59" s="48"/>
      <c r="I59" s="49">
        <f>SUM(I13:I57)</f>
        <v>0</v>
      </c>
    </row>
  </sheetData>
  <autoFilter ref="A11:Q57" xr:uid="{45630FC4-8F9B-4120-9191-9A5B0FBF85E2}">
    <filterColumn colId="6" showButton="0"/>
    <filterColumn colId="7" showButton="0"/>
  </autoFilter>
  <mergeCells count="14">
    <mergeCell ref="Q11:Q12"/>
    <mergeCell ref="B37:B43"/>
    <mergeCell ref="B44:B47"/>
    <mergeCell ref="M11:M12"/>
    <mergeCell ref="N11:N12"/>
    <mergeCell ref="P11:P12"/>
    <mergeCell ref="D2:D3"/>
    <mergeCell ref="E2:F3"/>
    <mergeCell ref="B9:G9"/>
    <mergeCell ref="G11:I11"/>
    <mergeCell ref="O11:O12"/>
    <mergeCell ref="K11:K12"/>
    <mergeCell ref="L11:L12"/>
    <mergeCell ref="J11:J12"/>
  </mergeCells>
  <dataValidations count="2">
    <dataValidation type="list" allowBlank="1" showInputMessage="1" showErrorMessage="1" sqref="D13:D57" xr:uid="{2A6D0034-1912-4F75-B1D8-D117A3B6167E}">
      <formula1>Priority</formula1>
    </dataValidation>
    <dataValidation type="list" allowBlank="1" showInputMessage="1" showErrorMessage="1" sqref="H13:H57" xr:uid="{39D19F6B-4158-43D2-BF87-F4AF7D0D2856}">
      <formula1>"0%,50%,100%"</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5097B-B17B-401B-B7B9-41AF29036FF7}">
  <dimension ref="A1:B5"/>
  <sheetViews>
    <sheetView workbookViewId="0">
      <selection activeCell="B6" sqref="B6"/>
    </sheetView>
  </sheetViews>
  <sheetFormatPr defaultRowHeight="14.25"/>
  <cols>
    <col min="2" max="2" width="35" customWidth="1"/>
  </cols>
  <sheetData>
    <row r="1" spans="1:2">
      <c r="A1" t="s">
        <v>158</v>
      </c>
      <c r="B1" t="s">
        <v>159</v>
      </c>
    </row>
    <row r="2" spans="1:2" ht="183.75">
      <c r="A2">
        <v>1</v>
      </c>
      <c r="B2" s="147" t="s">
        <v>160</v>
      </c>
    </row>
    <row r="3" spans="1:2">
      <c r="A3">
        <v>2</v>
      </c>
      <c r="B3" t="s">
        <v>161</v>
      </c>
    </row>
    <row r="4" spans="1:2">
      <c r="A4">
        <v>13</v>
      </c>
      <c r="B4" t="s">
        <v>162</v>
      </c>
    </row>
    <row r="5" spans="1:2">
      <c r="A5">
        <v>14</v>
      </c>
      <c r="B5" t="s">
        <v>162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C7798-DCD6-4CE3-80FB-33EE90F74420}">
  <dimension ref="A1:T52"/>
  <sheetViews>
    <sheetView tabSelected="1" zoomScaleNormal="100" workbookViewId="0">
      <pane ySplit="12" topLeftCell="A13" activePane="bottomLeft" state="frozen"/>
      <selection pane="bottomLeft" activeCell="F37" sqref="F37"/>
      <selection activeCell="A11" sqref="A11"/>
    </sheetView>
  </sheetViews>
  <sheetFormatPr defaultColWidth="6.625" defaultRowHeight="12.75" customHeight="1"/>
  <cols>
    <col min="1" max="1" width="3.5" style="3" customWidth="1"/>
    <col min="2" max="2" width="10.75" style="23" customWidth="1"/>
    <col min="3" max="3" width="36.625" style="4" customWidth="1"/>
    <col min="4" max="4" width="13.375" style="3" customWidth="1"/>
    <col min="5" max="5" width="8.375" style="3" customWidth="1"/>
    <col min="6" max="6" width="10.375" style="3" customWidth="1"/>
    <col min="7" max="7" width="25.5" style="4" customWidth="1"/>
    <col min="8" max="8" width="10.75" style="3" customWidth="1"/>
    <col min="9" max="9" width="11.125" style="3" customWidth="1"/>
    <col min="10" max="10" width="22.375" style="58" customWidth="1"/>
    <col min="11" max="11" width="13.875" style="4" customWidth="1"/>
    <col min="12" max="12" width="26.25" style="4" customWidth="1"/>
    <col min="13" max="13" width="43" style="56" customWidth="1"/>
    <col min="14" max="14" width="11.375" style="4" customWidth="1"/>
    <col min="15" max="15" width="12.5" style="58" customWidth="1"/>
    <col min="16" max="16" width="7.125" style="58" bestFit="1" customWidth="1"/>
    <col min="17" max="19" width="6.625" style="58"/>
    <col min="20" max="20" width="34.875" style="58" customWidth="1"/>
    <col min="21" max="16384" width="6.625" style="58"/>
  </cols>
  <sheetData>
    <row r="1" spans="1:15" hidden="1">
      <c r="A1" s="1"/>
      <c r="B1" s="2"/>
      <c r="C1" s="146"/>
    </row>
    <row r="2" spans="1:15" ht="28.5" hidden="1">
      <c r="A2" s="1"/>
      <c r="B2" s="60" t="s">
        <v>0</v>
      </c>
      <c r="C2" s="122" t="str">
        <f>'[1]Scoring Summary'!C2</f>
        <v>&lt;insert before tender publication&gt;</v>
      </c>
      <c r="D2" s="201"/>
      <c r="E2" s="202" t="s">
        <v>1</v>
      </c>
      <c r="F2" s="203"/>
    </row>
    <row r="3" spans="1:15" ht="28.5" hidden="1">
      <c r="A3" s="1"/>
      <c r="B3" s="60" t="s">
        <v>2</v>
      </c>
      <c r="C3" s="122" t="str">
        <f>'[1]Scoring Summary'!C3</f>
        <v>&lt;insert before tender publication&gt;</v>
      </c>
      <c r="D3" s="201"/>
      <c r="E3" s="204"/>
      <c r="F3" s="205"/>
      <c r="H3" s="9"/>
    </row>
    <row r="4" spans="1:15" ht="57.75" hidden="1">
      <c r="A4" s="1"/>
      <c r="B4" s="60" t="s">
        <v>3</v>
      </c>
      <c r="C4" s="122" t="str">
        <f>'[1]Scoring Summary'!C4</f>
        <v>&lt;Evaluator to complete&gt;</v>
      </c>
      <c r="D4" s="62"/>
      <c r="E4" s="67" t="s">
        <v>163</v>
      </c>
      <c r="F4" s="68"/>
      <c r="H4" s="13"/>
    </row>
    <row r="5" spans="1:15" ht="43.5" hidden="1">
      <c r="A5" s="1"/>
      <c r="B5" s="60" t="s">
        <v>5</v>
      </c>
      <c r="C5" s="122" t="str">
        <f>'[1]Scoring Summary'!C5</f>
        <v>&lt;Evaluator to complete&gt;</v>
      </c>
      <c r="D5" s="61"/>
      <c r="E5" s="69"/>
      <c r="F5" s="70"/>
      <c r="H5" s="13"/>
    </row>
    <row r="6" spans="1:15" ht="28.5" hidden="1">
      <c r="B6" s="60" t="s">
        <v>6</v>
      </c>
      <c r="C6" s="122" t="str">
        <f>'[1]Scoring Summary'!C6</f>
        <v>&lt;Evaluator to complete&gt;</v>
      </c>
      <c r="H6" s="13"/>
    </row>
    <row r="7" spans="1:15" ht="28.5" hidden="1">
      <c r="A7" s="16"/>
      <c r="B7" s="60" t="s">
        <v>7</v>
      </c>
      <c r="C7" s="122"/>
    </row>
    <row r="8" spans="1:15" ht="15" hidden="1">
      <c r="A8" s="16"/>
      <c r="B8" s="63"/>
      <c r="C8" s="123"/>
    </row>
    <row r="9" spans="1:15" hidden="1">
      <c r="A9" s="16"/>
      <c r="B9" s="206" t="s">
        <v>8</v>
      </c>
      <c r="C9" s="206"/>
      <c r="D9" s="206"/>
      <c r="E9" s="206"/>
      <c r="F9" s="206"/>
      <c r="G9" s="206"/>
    </row>
    <row r="10" spans="1:15" hidden="1">
      <c r="A10" s="16"/>
      <c r="B10" s="64"/>
      <c r="C10" s="124"/>
      <c r="D10" s="64"/>
      <c r="E10" s="64"/>
      <c r="F10" s="64"/>
      <c r="G10" s="64"/>
    </row>
    <row r="11" spans="1:15" ht="24">
      <c r="A11" s="110"/>
      <c r="B11" s="117"/>
      <c r="C11" s="118"/>
      <c r="D11" s="111" t="s">
        <v>9</v>
      </c>
      <c r="E11" s="111" t="s">
        <v>10</v>
      </c>
      <c r="F11" s="119"/>
      <c r="G11" s="207" t="s">
        <v>11</v>
      </c>
      <c r="H11" s="208"/>
      <c r="I11" s="209"/>
      <c r="J11" s="210" t="s">
        <v>12</v>
      </c>
      <c r="K11" s="210" t="s">
        <v>13</v>
      </c>
      <c r="L11" s="207" t="s">
        <v>164</v>
      </c>
      <c r="M11" s="212" t="s">
        <v>165</v>
      </c>
      <c r="N11" s="212" t="s">
        <v>166</v>
      </c>
      <c r="O11" s="211" t="s">
        <v>167</v>
      </c>
    </row>
    <row r="12" spans="1:15" ht="36">
      <c r="A12" s="113" t="s">
        <v>20</v>
      </c>
      <c r="B12" s="120" t="s">
        <v>21</v>
      </c>
      <c r="C12" s="120" t="s">
        <v>22</v>
      </c>
      <c r="D12" s="114" t="s">
        <v>23</v>
      </c>
      <c r="E12" s="115" t="s">
        <v>9</v>
      </c>
      <c r="F12" s="115" t="s">
        <v>24</v>
      </c>
      <c r="G12" s="115" t="s">
        <v>25</v>
      </c>
      <c r="H12" s="115" t="s">
        <v>26</v>
      </c>
      <c r="I12" s="116" t="s">
        <v>27</v>
      </c>
      <c r="J12" s="210"/>
      <c r="K12" s="210"/>
      <c r="L12" s="207"/>
      <c r="M12" s="212"/>
      <c r="N12" s="212"/>
      <c r="O12" s="211"/>
    </row>
    <row r="13" spans="1:15" ht="36">
      <c r="A13" s="4">
        <v>1</v>
      </c>
      <c r="B13" s="142" t="s">
        <v>168</v>
      </c>
      <c r="C13" s="125" t="s">
        <v>169</v>
      </c>
      <c r="D13" s="52" t="s">
        <v>58</v>
      </c>
      <c r="E13" s="35">
        <f>IF(D13='[1]Priority Ratings'!$C$21,'[1]Priority Ratings'!$B$21,IF(D13='[1]Priority Ratings'!$C$22,'[1]Priority Ratings'!$B$22,IF(D13='[1]Priority Ratings'!$C$23,'[1]Priority Ratings'!$B$23,IF(D13='[1]Priority Ratings'!$C$24,'[1]Priority Ratings'!$B$24,IF(D13='[1]Priority Ratings'!$C$25,'[1]Priority Ratings'!$B$25,IF(D13='[1]Priority Ratings'!$C$26,'[1]Priority Ratings'!$B$26,IF(D13='[1]Priority Ratings'!$C$27,'[1]Priority Ratings'!$B$27,"No Rating")))))))</f>
        <v>3</v>
      </c>
      <c r="F13" s="36">
        <f t="shared" ref="F13:F38" si="0">E13/E$40</f>
        <v>3.9473684210526314E-2</v>
      </c>
      <c r="G13" s="37" t="s">
        <v>31</v>
      </c>
      <c r="H13" s="53"/>
      <c r="I13" s="38">
        <f t="shared" ref="I13:I38" si="1">F13*H13</f>
        <v>0</v>
      </c>
      <c r="J13" s="71"/>
      <c r="K13" s="52" t="s">
        <v>38</v>
      </c>
      <c r="L13" s="121" t="s">
        <v>170</v>
      </c>
      <c r="M13" s="59" t="s">
        <v>171</v>
      </c>
      <c r="N13" s="74"/>
    </row>
    <row r="14" spans="1:15" ht="44.25">
      <c r="A14" s="54">
        <v>2</v>
      </c>
      <c r="B14" s="142" t="s">
        <v>168</v>
      </c>
      <c r="C14" s="126" t="s">
        <v>172</v>
      </c>
      <c r="D14" s="52" t="s">
        <v>58</v>
      </c>
      <c r="E14" s="35">
        <f>IF(D14='[1]Priority Ratings'!$C$21,'[1]Priority Ratings'!$B$21,IF(D14='[1]Priority Ratings'!$C$22,'[1]Priority Ratings'!$B$22,IF(D14='[1]Priority Ratings'!$C$23,'[1]Priority Ratings'!$B$23,IF(D14='[1]Priority Ratings'!$C$24,'[1]Priority Ratings'!$B$24,IF(D14='[1]Priority Ratings'!$C$25,'[1]Priority Ratings'!$B$25,IF(D14='[1]Priority Ratings'!$C$26,'[1]Priority Ratings'!$B$26,IF(D14='[1]Priority Ratings'!$C$27,'[1]Priority Ratings'!$B$27,"No Rating")))))))</f>
        <v>3</v>
      </c>
      <c r="F14" s="36">
        <f t="shared" si="0"/>
        <v>3.9473684210526314E-2</v>
      </c>
      <c r="G14" s="37" t="s">
        <v>31</v>
      </c>
      <c r="H14" s="53"/>
      <c r="I14" s="38">
        <f t="shared" si="1"/>
        <v>0</v>
      </c>
      <c r="J14" s="71"/>
      <c r="K14" s="52" t="s">
        <v>38</v>
      </c>
      <c r="L14" s="121" t="s">
        <v>173</v>
      </c>
      <c r="M14" s="59" t="s">
        <v>174</v>
      </c>
      <c r="N14" s="74"/>
    </row>
    <row r="15" spans="1:15" ht="33">
      <c r="A15" s="4">
        <v>3</v>
      </c>
      <c r="B15" s="142" t="s">
        <v>168</v>
      </c>
      <c r="C15" s="126" t="s">
        <v>175</v>
      </c>
      <c r="D15" s="52" t="s">
        <v>58</v>
      </c>
      <c r="E15" s="35">
        <f>IF(D15='[1]Priority Ratings'!$C$21,'[1]Priority Ratings'!$B$21,IF(D15='[1]Priority Ratings'!$C$22,'[1]Priority Ratings'!$B$22,IF(D15='[1]Priority Ratings'!$C$23,'[1]Priority Ratings'!$B$23,IF(D15='[1]Priority Ratings'!$C$24,'[1]Priority Ratings'!$B$24,IF(D15='[1]Priority Ratings'!$C$25,'[1]Priority Ratings'!$B$25,IF(D15='[1]Priority Ratings'!$C$26,'[1]Priority Ratings'!$B$26,IF(D15='[1]Priority Ratings'!$C$27,'[1]Priority Ratings'!$B$27,"No Rating")))))))</f>
        <v>3</v>
      </c>
      <c r="F15" s="36">
        <f t="shared" si="0"/>
        <v>3.9473684210526314E-2</v>
      </c>
      <c r="G15" s="37" t="s">
        <v>31</v>
      </c>
      <c r="H15" s="53"/>
      <c r="I15" s="38">
        <f t="shared" si="1"/>
        <v>0</v>
      </c>
      <c r="J15" s="71"/>
      <c r="K15" s="52" t="s">
        <v>38</v>
      </c>
      <c r="L15" s="121" t="s">
        <v>173</v>
      </c>
      <c r="M15" s="59"/>
      <c r="N15" s="74"/>
    </row>
    <row r="16" spans="1:15" s="105" customFormat="1" ht="60">
      <c r="A16" s="98">
        <v>4</v>
      </c>
      <c r="B16" s="143" t="s">
        <v>168</v>
      </c>
      <c r="C16" s="127" t="s">
        <v>176</v>
      </c>
      <c r="D16" s="73" t="s">
        <v>58</v>
      </c>
      <c r="E16" s="99">
        <f>IF(D16='[1]Priority Ratings'!$C$21,'[1]Priority Ratings'!$B$21,IF(D16='[1]Priority Ratings'!$C$22,'[1]Priority Ratings'!$B$22,IF(D16='[1]Priority Ratings'!$C$23,'[1]Priority Ratings'!$B$23,IF(D16='[1]Priority Ratings'!$C$24,'[1]Priority Ratings'!$B$24,IF(D16='[1]Priority Ratings'!$C$25,'[1]Priority Ratings'!$B$25,IF(D16='[1]Priority Ratings'!$C$26,'[1]Priority Ratings'!$B$26,IF(D16='[1]Priority Ratings'!$C$27,'[1]Priority Ratings'!$B$27,"No Rating")))))))</f>
        <v>3</v>
      </c>
      <c r="F16" s="100">
        <f t="shared" si="0"/>
        <v>3.9473684210526314E-2</v>
      </c>
      <c r="G16" s="101" t="s">
        <v>31</v>
      </c>
      <c r="H16" s="102"/>
      <c r="I16" s="103">
        <f t="shared" si="1"/>
        <v>0</v>
      </c>
      <c r="J16" s="104"/>
      <c r="K16" s="73" t="s">
        <v>32</v>
      </c>
      <c r="L16" s="98" t="s">
        <v>177</v>
      </c>
      <c r="M16" s="97" t="s">
        <v>178</v>
      </c>
      <c r="N16" s="155">
        <v>2</v>
      </c>
      <c r="O16" s="105" t="s">
        <v>179</v>
      </c>
    </row>
    <row r="17" spans="1:20" ht="72">
      <c r="A17" s="4">
        <v>5</v>
      </c>
      <c r="B17" s="142" t="s">
        <v>168</v>
      </c>
      <c r="C17" s="126" t="s">
        <v>180</v>
      </c>
      <c r="D17" s="52" t="s">
        <v>58</v>
      </c>
      <c r="E17" s="35">
        <f>IF(D17='[1]Priority Ratings'!$C$21,'[1]Priority Ratings'!$B$21,IF(D17='[1]Priority Ratings'!$C$22,'[1]Priority Ratings'!$B$22,IF(D17='[1]Priority Ratings'!$C$23,'[1]Priority Ratings'!$B$23,IF(D17='[1]Priority Ratings'!$C$24,'[1]Priority Ratings'!$B$24,IF(D17='[1]Priority Ratings'!$C$25,'[1]Priority Ratings'!$B$25,IF(D17='[1]Priority Ratings'!$C$26,'[1]Priority Ratings'!$B$26,IF(D17='[1]Priority Ratings'!$C$27,'[1]Priority Ratings'!$B$27,"No Rating")))))))</f>
        <v>3</v>
      </c>
      <c r="F17" s="36">
        <f t="shared" si="0"/>
        <v>3.9473684210526314E-2</v>
      </c>
      <c r="G17" s="37" t="s">
        <v>31</v>
      </c>
      <c r="H17" s="53"/>
      <c r="I17" s="38">
        <f t="shared" si="1"/>
        <v>0</v>
      </c>
      <c r="J17" s="71"/>
      <c r="K17" s="52" t="s">
        <v>38</v>
      </c>
      <c r="L17" s="54"/>
      <c r="M17" s="59" t="s">
        <v>181</v>
      </c>
      <c r="N17" s="74"/>
    </row>
    <row r="18" spans="1:20" ht="24">
      <c r="A18" s="54">
        <v>6</v>
      </c>
      <c r="B18" s="142" t="s">
        <v>168</v>
      </c>
      <c r="C18" s="126" t="s">
        <v>182</v>
      </c>
      <c r="D18" s="52" t="s">
        <v>58</v>
      </c>
      <c r="E18" s="35">
        <f>IF(D18='[1]Priority Ratings'!$C$21,'[1]Priority Ratings'!$B$21,IF(D18='[1]Priority Ratings'!$C$22,'[1]Priority Ratings'!$B$22,IF(D18='[1]Priority Ratings'!$C$23,'[1]Priority Ratings'!$B$23,IF(D18='[1]Priority Ratings'!$C$24,'[1]Priority Ratings'!$B$24,IF(D18='[1]Priority Ratings'!$C$25,'[1]Priority Ratings'!$B$25,IF(D18='[1]Priority Ratings'!$C$26,'[1]Priority Ratings'!$B$26,IF(D18='[1]Priority Ratings'!$C$27,'[1]Priority Ratings'!$B$27,"No Rating")))))))</f>
        <v>3</v>
      </c>
      <c r="F18" s="36">
        <f t="shared" si="0"/>
        <v>3.9473684210526314E-2</v>
      </c>
      <c r="G18" s="37" t="s">
        <v>31</v>
      </c>
      <c r="H18" s="53"/>
      <c r="I18" s="38">
        <f t="shared" si="1"/>
        <v>0</v>
      </c>
      <c r="J18" s="71"/>
      <c r="K18" s="52" t="s">
        <v>38</v>
      </c>
      <c r="L18" s="54"/>
      <c r="M18" s="59" t="s">
        <v>183</v>
      </c>
      <c r="N18" s="74"/>
    </row>
    <row r="19" spans="1:20" s="105" customFormat="1" ht="96">
      <c r="A19" s="106">
        <v>7</v>
      </c>
      <c r="B19" s="143" t="s">
        <v>168</v>
      </c>
      <c r="C19" s="127" t="s">
        <v>184</v>
      </c>
      <c r="D19" s="73" t="s">
        <v>58</v>
      </c>
      <c r="E19" s="99">
        <f>IF(D19='[1]Priority Ratings'!$C$21,'[1]Priority Ratings'!$B$21,IF(D19='[1]Priority Ratings'!$C$22,'[1]Priority Ratings'!$B$22,IF(D19='[1]Priority Ratings'!$C$23,'[1]Priority Ratings'!$B$23,IF(D19='[1]Priority Ratings'!$C$24,'[1]Priority Ratings'!$B$24,IF(D19='[1]Priority Ratings'!$C$25,'[1]Priority Ratings'!$B$25,IF(D19='[1]Priority Ratings'!$C$26,'[1]Priority Ratings'!$B$26,IF(D19='[1]Priority Ratings'!$C$27,'[1]Priority Ratings'!$B$27,"No Rating")))))))</f>
        <v>3</v>
      </c>
      <c r="F19" s="100">
        <f t="shared" si="0"/>
        <v>3.9473684210526314E-2</v>
      </c>
      <c r="G19" s="101" t="s">
        <v>31</v>
      </c>
      <c r="H19" s="102"/>
      <c r="I19" s="103">
        <f t="shared" si="1"/>
        <v>0</v>
      </c>
      <c r="J19" s="104"/>
      <c r="K19" s="162" t="s">
        <v>32</v>
      </c>
      <c r="L19" s="98" t="s">
        <v>185</v>
      </c>
      <c r="M19" s="97"/>
      <c r="N19" s="155"/>
      <c r="O19" s="105" t="s">
        <v>186</v>
      </c>
    </row>
    <row r="20" spans="1:20" ht="22.5">
      <c r="A20" s="54">
        <v>8</v>
      </c>
      <c r="B20" s="142" t="s">
        <v>168</v>
      </c>
      <c r="C20" s="126" t="s">
        <v>187</v>
      </c>
      <c r="D20" s="52" t="s">
        <v>58</v>
      </c>
      <c r="E20" s="35">
        <f>IF(D20='[1]Priority Ratings'!$C$21,'[1]Priority Ratings'!$B$21,IF(D20='[1]Priority Ratings'!$C$22,'[1]Priority Ratings'!$B$22,IF(D20='[1]Priority Ratings'!$C$23,'[1]Priority Ratings'!$B$23,IF(D20='[1]Priority Ratings'!$C$24,'[1]Priority Ratings'!$B$24,IF(D20='[1]Priority Ratings'!$C$25,'[1]Priority Ratings'!$B$25,IF(D20='[1]Priority Ratings'!$C$26,'[1]Priority Ratings'!$B$26,IF(D20='[1]Priority Ratings'!$C$27,'[1]Priority Ratings'!$B$27,"No Rating")))))))</f>
        <v>3</v>
      </c>
      <c r="F20" s="36">
        <f t="shared" si="0"/>
        <v>3.9473684210526314E-2</v>
      </c>
      <c r="G20" s="37" t="s">
        <v>31</v>
      </c>
      <c r="H20" s="53"/>
      <c r="I20" s="38">
        <f t="shared" si="1"/>
        <v>0</v>
      </c>
      <c r="J20" s="71"/>
      <c r="K20" s="52" t="s">
        <v>38</v>
      </c>
      <c r="L20" s="54"/>
      <c r="M20" s="59" t="s">
        <v>188</v>
      </c>
      <c r="N20" s="74"/>
    </row>
    <row r="21" spans="1:20" s="107" customFormat="1" ht="36">
      <c r="A21" s="131">
        <v>9</v>
      </c>
      <c r="B21" s="144" t="s">
        <v>168</v>
      </c>
      <c r="C21" s="132" t="s">
        <v>189</v>
      </c>
      <c r="D21" s="133" t="s">
        <v>58</v>
      </c>
      <c r="E21" s="134">
        <f>IF(D21='[1]Priority Ratings'!$C$21,'[1]Priority Ratings'!$B$21,IF(D21='[1]Priority Ratings'!$C$22,'[1]Priority Ratings'!$B$22,IF(D21='[1]Priority Ratings'!$C$23,'[1]Priority Ratings'!$B$23,IF(D21='[1]Priority Ratings'!$C$24,'[1]Priority Ratings'!$B$24,IF(D21='[1]Priority Ratings'!$C$25,'[1]Priority Ratings'!$B$25,IF(D21='[1]Priority Ratings'!$C$26,'[1]Priority Ratings'!$B$26,IF(D21='[1]Priority Ratings'!$C$27,'[1]Priority Ratings'!$B$27,"No Rating")))))))</f>
        <v>3</v>
      </c>
      <c r="F21" s="135">
        <f t="shared" si="0"/>
        <v>3.9473684210526314E-2</v>
      </c>
      <c r="G21" s="136" t="s">
        <v>31</v>
      </c>
      <c r="H21" s="137"/>
      <c r="I21" s="138">
        <f t="shared" si="1"/>
        <v>0</v>
      </c>
      <c r="J21" s="139"/>
      <c r="K21" s="133" t="s">
        <v>190</v>
      </c>
      <c r="L21" s="145" t="s">
        <v>191</v>
      </c>
      <c r="M21" s="140" t="s">
        <v>192</v>
      </c>
      <c r="N21" s="141" t="s">
        <v>193</v>
      </c>
    </row>
    <row r="22" spans="1:20" ht="81.75" customHeight="1">
      <c r="A22" s="54">
        <v>10</v>
      </c>
      <c r="B22" s="142" t="s">
        <v>168</v>
      </c>
      <c r="C22" s="126" t="s">
        <v>194</v>
      </c>
      <c r="D22" s="52" t="s">
        <v>58</v>
      </c>
      <c r="E22" s="35">
        <f>IF(D22='[1]Priority Ratings'!$C$21,'[1]Priority Ratings'!$B$21,IF(D22='[1]Priority Ratings'!$C$22,'[1]Priority Ratings'!$B$22,IF(D22='[1]Priority Ratings'!$C$23,'[1]Priority Ratings'!$B$23,IF(D22='[1]Priority Ratings'!$C$24,'[1]Priority Ratings'!$B$24,IF(D22='[1]Priority Ratings'!$C$25,'[1]Priority Ratings'!$B$25,IF(D22='[1]Priority Ratings'!$C$26,'[1]Priority Ratings'!$B$26,IF(D22='[1]Priority Ratings'!$C$27,'[1]Priority Ratings'!$B$27,"No Rating")))))))</f>
        <v>3</v>
      </c>
      <c r="F22" s="36">
        <f t="shared" si="0"/>
        <v>3.9473684210526314E-2</v>
      </c>
      <c r="G22" s="37" t="s">
        <v>31</v>
      </c>
      <c r="H22" s="53"/>
      <c r="I22" s="38">
        <f t="shared" si="1"/>
        <v>0</v>
      </c>
      <c r="J22" s="71"/>
      <c r="K22" s="52" t="s">
        <v>32</v>
      </c>
      <c r="L22" s="54" t="s">
        <v>195</v>
      </c>
      <c r="M22" s="59" t="s">
        <v>196</v>
      </c>
      <c r="N22" s="74">
        <v>0.5</v>
      </c>
      <c r="O22" s="58" t="s">
        <v>197</v>
      </c>
      <c r="P22" s="58" t="s">
        <v>198</v>
      </c>
      <c r="T22" s="58" t="s">
        <v>199</v>
      </c>
    </row>
    <row r="23" spans="1:20" s="105" customFormat="1" ht="36">
      <c r="A23" s="106">
        <v>11</v>
      </c>
      <c r="B23" s="143" t="s">
        <v>168</v>
      </c>
      <c r="C23" s="128" t="s">
        <v>200</v>
      </c>
      <c r="D23" s="73" t="s">
        <v>58</v>
      </c>
      <c r="E23" s="99">
        <f>IF(D23='[1]Priority Ratings'!$C$21,'[1]Priority Ratings'!$B$21,IF(D23='[1]Priority Ratings'!$C$22,'[1]Priority Ratings'!$B$22,IF(D23='[1]Priority Ratings'!$C$23,'[1]Priority Ratings'!$B$23,IF(D23='[1]Priority Ratings'!$C$24,'[1]Priority Ratings'!$B$24,IF(D23='[1]Priority Ratings'!$C$25,'[1]Priority Ratings'!$B$25,IF(D23='[1]Priority Ratings'!$C$26,'[1]Priority Ratings'!$B$26,IF(D23='[1]Priority Ratings'!$C$27,'[1]Priority Ratings'!$B$27,"No Rating")))))))</f>
        <v>3</v>
      </c>
      <c r="F23" s="100">
        <f t="shared" si="0"/>
        <v>3.9473684210526314E-2</v>
      </c>
      <c r="G23" s="101" t="s">
        <v>31</v>
      </c>
      <c r="H23" s="102"/>
      <c r="I23" s="103">
        <f t="shared" si="1"/>
        <v>0</v>
      </c>
      <c r="J23" s="104"/>
      <c r="K23" s="73" t="s">
        <v>32</v>
      </c>
      <c r="L23" s="98" t="s">
        <v>201</v>
      </c>
      <c r="M23" s="97" t="s">
        <v>202</v>
      </c>
      <c r="N23" s="155">
        <v>0.5</v>
      </c>
    </row>
    <row r="24" spans="1:20" ht="72">
      <c r="A24" s="54">
        <v>12</v>
      </c>
      <c r="B24" s="142" t="s">
        <v>168</v>
      </c>
      <c r="C24" s="129" t="s">
        <v>203</v>
      </c>
      <c r="D24" s="52" t="s">
        <v>58</v>
      </c>
      <c r="E24" s="35">
        <f>IF(D24='[1]Priority Ratings'!$C$21,'[1]Priority Ratings'!$B$21,IF(D24='[1]Priority Ratings'!$C$22,'[1]Priority Ratings'!$B$22,IF(D24='[1]Priority Ratings'!$C$23,'[1]Priority Ratings'!$B$23,IF(D24='[1]Priority Ratings'!$C$24,'[1]Priority Ratings'!$B$24,IF(D24='[1]Priority Ratings'!$C$25,'[1]Priority Ratings'!$B$25,IF(D24='[1]Priority Ratings'!$C$26,'[1]Priority Ratings'!$B$26,IF(D24='[1]Priority Ratings'!$C$27,'[1]Priority Ratings'!$B$27,"No Rating")))))))</f>
        <v>3</v>
      </c>
      <c r="F24" s="36">
        <f t="shared" si="0"/>
        <v>3.9473684210526314E-2</v>
      </c>
      <c r="G24" s="37" t="s">
        <v>31</v>
      </c>
      <c r="H24" s="53"/>
      <c r="I24" s="38">
        <f t="shared" si="1"/>
        <v>0</v>
      </c>
      <c r="J24" s="71"/>
      <c r="K24" s="73" t="s">
        <v>32</v>
      </c>
      <c r="L24" s="54" t="s">
        <v>204</v>
      </c>
      <c r="M24" s="59" t="s">
        <v>205</v>
      </c>
      <c r="N24" s="74">
        <v>3</v>
      </c>
    </row>
    <row r="25" spans="1:20" ht="22.5">
      <c r="A25" s="4">
        <v>13</v>
      </c>
      <c r="B25" s="142" t="s">
        <v>168</v>
      </c>
      <c r="C25" s="130" t="s">
        <v>206</v>
      </c>
      <c r="D25" s="52" t="s">
        <v>58</v>
      </c>
      <c r="E25" s="35">
        <f>IF(D25='[1]Priority Ratings'!$C$21,'[1]Priority Ratings'!$B$21,IF(D25='[1]Priority Ratings'!$C$22,'[1]Priority Ratings'!$B$22,IF(D25='[1]Priority Ratings'!$C$23,'[1]Priority Ratings'!$B$23,IF(D25='[1]Priority Ratings'!$C$24,'[1]Priority Ratings'!$B$24,IF(D25='[1]Priority Ratings'!$C$25,'[1]Priority Ratings'!$B$25,IF(D25='[1]Priority Ratings'!$C$26,'[1]Priority Ratings'!$B$26,IF(D25='[1]Priority Ratings'!$C$27,'[1]Priority Ratings'!$B$27,"No Rating")))))))</f>
        <v>3</v>
      </c>
      <c r="F25" s="36">
        <f t="shared" si="0"/>
        <v>3.9473684210526314E-2</v>
      </c>
      <c r="G25" s="37" t="s">
        <v>31</v>
      </c>
      <c r="H25" s="53"/>
      <c r="I25" s="38">
        <f t="shared" si="1"/>
        <v>0</v>
      </c>
      <c r="J25" s="71"/>
      <c r="K25" s="52" t="s">
        <v>38</v>
      </c>
      <c r="L25" s="54"/>
      <c r="M25" s="59" t="s">
        <v>207</v>
      </c>
      <c r="N25" s="74"/>
    </row>
    <row r="26" spans="1:20" ht="22.5">
      <c r="A26" s="54">
        <v>14</v>
      </c>
      <c r="B26" s="142" t="s">
        <v>168</v>
      </c>
      <c r="C26" s="130" t="s">
        <v>208</v>
      </c>
      <c r="D26" s="52" t="s">
        <v>58</v>
      </c>
      <c r="E26" s="35">
        <f>IF(D26='[1]Priority Ratings'!$C$21,'[1]Priority Ratings'!$B$21,IF(D26='[1]Priority Ratings'!$C$22,'[1]Priority Ratings'!$B$22,IF(D26='[1]Priority Ratings'!$C$23,'[1]Priority Ratings'!$B$23,IF(D26='[1]Priority Ratings'!$C$24,'[1]Priority Ratings'!$B$24,IF(D26='[1]Priority Ratings'!$C$25,'[1]Priority Ratings'!$B$25,IF(D26='[1]Priority Ratings'!$C$26,'[1]Priority Ratings'!$B$26,IF(D26='[1]Priority Ratings'!$C$27,'[1]Priority Ratings'!$B$27,"No Rating")))))))</f>
        <v>3</v>
      </c>
      <c r="F26" s="36">
        <f t="shared" si="0"/>
        <v>3.9473684210526314E-2</v>
      </c>
      <c r="G26" s="37" t="s">
        <v>31</v>
      </c>
      <c r="H26" s="53"/>
      <c r="I26" s="38">
        <f t="shared" si="1"/>
        <v>0</v>
      </c>
      <c r="J26" s="71"/>
      <c r="K26" s="52" t="s">
        <v>38</v>
      </c>
      <c r="L26" s="54"/>
      <c r="M26" s="59" t="s">
        <v>209</v>
      </c>
      <c r="N26" s="74"/>
    </row>
    <row r="27" spans="1:20">
      <c r="A27" s="4">
        <v>15</v>
      </c>
      <c r="B27" s="142" t="s">
        <v>168</v>
      </c>
      <c r="C27" s="130" t="s">
        <v>210</v>
      </c>
      <c r="D27" s="52" t="s">
        <v>58</v>
      </c>
      <c r="E27" s="35">
        <f>IF(D27='[1]Priority Ratings'!$C$21,'[1]Priority Ratings'!$B$21,IF(D27='[1]Priority Ratings'!$C$22,'[1]Priority Ratings'!$B$22,IF(D27='[1]Priority Ratings'!$C$23,'[1]Priority Ratings'!$B$23,IF(D27='[1]Priority Ratings'!$C$24,'[1]Priority Ratings'!$B$24,IF(D27='[1]Priority Ratings'!$C$25,'[1]Priority Ratings'!$B$25,IF(D27='[1]Priority Ratings'!$C$26,'[1]Priority Ratings'!$B$26,IF(D27='[1]Priority Ratings'!$C$27,'[1]Priority Ratings'!$B$27,"No Rating")))))))</f>
        <v>3</v>
      </c>
      <c r="F27" s="36">
        <f t="shared" si="0"/>
        <v>3.9473684210526314E-2</v>
      </c>
      <c r="G27" s="37" t="s">
        <v>31</v>
      </c>
      <c r="H27" s="53"/>
      <c r="I27" s="38">
        <f t="shared" si="1"/>
        <v>0</v>
      </c>
      <c r="J27" s="71"/>
      <c r="K27" s="52" t="s">
        <v>38</v>
      </c>
      <c r="L27" s="54"/>
      <c r="M27" s="59" t="s">
        <v>211</v>
      </c>
      <c r="N27" s="74"/>
    </row>
    <row r="28" spans="1:20" ht="36">
      <c r="A28" s="54">
        <v>16</v>
      </c>
      <c r="B28" s="142" t="s">
        <v>168</v>
      </c>
      <c r="C28" s="130" t="s">
        <v>212</v>
      </c>
      <c r="D28" s="52" t="s">
        <v>58</v>
      </c>
      <c r="E28" s="35">
        <f>IF(D28='[1]Priority Ratings'!$C$21,'[1]Priority Ratings'!$B$21,IF(D28='[1]Priority Ratings'!$C$22,'[1]Priority Ratings'!$B$22,IF(D28='[1]Priority Ratings'!$C$23,'[1]Priority Ratings'!$B$23,IF(D28='[1]Priority Ratings'!$C$24,'[1]Priority Ratings'!$B$24,IF(D28='[1]Priority Ratings'!$C$25,'[1]Priority Ratings'!$B$25,IF(D28='[1]Priority Ratings'!$C$26,'[1]Priority Ratings'!$B$26,IF(D28='[1]Priority Ratings'!$C$27,'[1]Priority Ratings'!$B$27,"No Rating")))))))</f>
        <v>3</v>
      </c>
      <c r="F28" s="36">
        <f t="shared" si="0"/>
        <v>3.9473684210526314E-2</v>
      </c>
      <c r="G28" s="37" t="s">
        <v>31</v>
      </c>
      <c r="H28" s="53"/>
      <c r="I28" s="38">
        <f t="shared" si="1"/>
        <v>0</v>
      </c>
      <c r="J28" s="71"/>
      <c r="K28" s="52" t="s">
        <v>38</v>
      </c>
      <c r="L28" s="54" t="s">
        <v>213</v>
      </c>
      <c r="M28" s="59"/>
      <c r="N28" s="74"/>
      <c r="O28" s="58" t="s">
        <v>214</v>
      </c>
    </row>
    <row r="29" spans="1:20" ht="22.5">
      <c r="A29" s="4">
        <v>17</v>
      </c>
      <c r="B29" s="142" t="s">
        <v>168</v>
      </c>
      <c r="C29" s="130" t="s">
        <v>215</v>
      </c>
      <c r="D29" s="52" t="s">
        <v>58</v>
      </c>
      <c r="E29" s="35">
        <f>IF(D29='[1]Priority Ratings'!$C$21,'[1]Priority Ratings'!$B$21,IF(D29='[1]Priority Ratings'!$C$22,'[1]Priority Ratings'!$B$22,IF(D29='[1]Priority Ratings'!$C$23,'[1]Priority Ratings'!$B$23,IF(D29='[1]Priority Ratings'!$C$24,'[1]Priority Ratings'!$B$24,IF(D29='[1]Priority Ratings'!$C$25,'[1]Priority Ratings'!$B$25,IF(D29='[1]Priority Ratings'!$C$26,'[1]Priority Ratings'!$B$26,IF(D29='[1]Priority Ratings'!$C$27,'[1]Priority Ratings'!$B$27,"No Rating")))))))</f>
        <v>3</v>
      </c>
      <c r="F29" s="36">
        <f t="shared" si="0"/>
        <v>3.9473684210526314E-2</v>
      </c>
      <c r="G29" s="37" t="s">
        <v>31</v>
      </c>
      <c r="H29" s="53"/>
      <c r="I29" s="38">
        <f t="shared" si="1"/>
        <v>0</v>
      </c>
      <c r="J29" s="71"/>
      <c r="K29" s="52" t="s">
        <v>38</v>
      </c>
      <c r="L29" s="54"/>
      <c r="M29" s="59" t="s">
        <v>216</v>
      </c>
      <c r="N29" s="74"/>
    </row>
    <row r="30" spans="1:20">
      <c r="A30" s="54">
        <v>18</v>
      </c>
      <c r="B30" s="142" t="s">
        <v>168</v>
      </c>
      <c r="C30" s="130" t="s">
        <v>217</v>
      </c>
      <c r="D30" s="52" t="s">
        <v>58</v>
      </c>
      <c r="E30" s="35">
        <f>IF(D30='[1]Priority Ratings'!$C$21,'[1]Priority Ratings'!$B$21,IF(D30='[1]Priority Ratings'!$C$22,'[1]Priority Ratings'!$B$22,IF(D30='[1]Priority Ratings'!$C$23,'[1]Priority Ratings'!$B$23,IF(D30='[1]Priority Ratings'!$C$24,'[1]Priority Ratings'!$B$24,IF(D30='[1]Priority Ratings'!$C$25,'[1]Priority Ratings'!$B$25,IF(D30='[1]Priority Ratings'!$C$26,'[1]Priority Ratings'!$B$26,IF(D30='[1]Priority Ratings'!$C$27,'[1]Priority Ratings'!$B$27,"No Rating")))))))</f>
        <v>3</v>
      </c>
      <c r="F30" s="36">
        <f t="shared" si="0"/>
        <v>3.9473684210526314E-2</v>
      </c>
      <c r="G30" s="37" t="s">
        <v>31</v>
      </c>
      <c r="H30" s="53"/>
      <c r="I30" s="38">
        <f t="shared" si="1"/>
        <v>0</v>
      </c>
      <c r="J30" s="71"/>
      <c r="K30" s="52" t="s">
        <v>38</v>
      </c>
      <c r="L30" s="54"/>
      <c r="M30" s="59" t="s">
        <v>218</v>
      </c>
      <c r="N30" s="74"/>
    </row>
    <row r="31" spans="1:20" ht="22.5">
      <c r="A31" s="4">
        <v>19</v>
      </c>
      <c r="B31" s="142" t="s">
        <v>168</v>
      </c>
      <c r="C31" s="130" t="s">
        <v>219</v>
      </c>
      <c r="D31" s="52" t="s">
        <v>58</v>
      </c>
      <c r="E31" s="35">
        <f>IF(D31='[1]Priority Ratings'!$C$21,'[1]Priority Ratings'!$B$21,IF(D31='[1]Priority Ratings'!$C$22,'[1]Priority Ratings'!$B$22,IF(D31='[1]Priority Ratings'!$C$23,'[1]Priority Ratings'!$B$23,IF(D31='[1]Priority Ratings'!$C$24,'[1]Priority Ratings'!$B$24,IF(D31='[1]Priority Ratings'!$C$25,'[1]Priority Ratings'!$B$25,IF(D31='[1]Priority Ratings'!$C$26,'[1]Priority Ratings'!$B$26,IF(D31='[1]Priority Ratings'!$C$27,'[1]Priority Ratings'!$B$27,"No Rating")))))))</f>
        <v>3</v>
      </c>
      <c r="F31" s="36">
        <f t="shared" si="0"/>
        <v>3.9473684210526314E-2</v>
      </c>
      <c r="G31" s="37" t="s">
        <v>31</v>
      </c>
      <c r="H31" s="53"/>
      <c r="I31" s="38">
        <f t="shared" si="1"/>
        <v>0</v>
      </c>
      <c r="J31" s="71"/>
      <c r="K31" s="52" t="s">
        <v>38</v>
      </c>
      <c r="L31" s="54"/>
      <c r="M31" s="59"/>
      <c r="N31" s="74"/>
    </row>
    <row r="32" spans="1:20" s="105" customFormat="1">
      <c r="A32" s="98">
        <v>20</v>
      </c>
      <c r="B32" s="143" t="s">
        <v>168</v>
      </c>
      <c r="C32" s="128" t="s">
        <v>220</v>
      </c>
      <c r="D32" s="73" t="s">
        <v>58</v>
      </c>
      <c r="E32" s="99">
        <f>IF(D32='[1]Priority Ratings'!$C$21,'[1]Priority Ratings'!$B$21,IF(D32='[1]Priority Ratings'!$C$22,'[1]Priority Ratings'!$B$22,IF(D32='[1]Priority Ratings'!$C$23,'[1]Priority Ratings'!$B$23,IF(D32='[1]Priority Ratings'!$C$24,'[1]Priority Ratings'!$B$24,IF(D32='[1]Priority Ratings'!$C$25,'[1]Priority Ratings'!$B$25,IF(D32='[1]Priority Ratings'!$C$26,'[1]Priority Ratings'!$B$26,IF(D32='[1]Priority Ratings'!$C$27,'[1]Priority Ratings'!$B$27,"No Rating")))))))</f>
        <v>3</v>
      </c>
      <c r="F32" s="100">
        <f t="shared" si="0"/>
        <v>3.9473684210526314E-2</v>
      </c>
      <c r="G32" s="101" t="s">
        <v>31</v>
      </c>
      <c r="H32" s="102"/>
      <c r="I32" s="103">
        <f t="shared" si="1"/>
        <v>0</v>
      </c>
      <c r="J32" s="104"/>
      <c r="K32" s="73" t="s">
        <v>221</v>
      </c>
      <c r="L32" s="98" t="s">
        <v>222</v>
      </c>
      <c r="M32" s="108" t="s">
        <v>223</v>
      </c>
      <c r="N32" s="155"/>
      <c r="O32" s="109" t="s">
        <v>224</v>
      </c>
    </row>
    <row r="33" spans="1:15" ht="22.5">
      <c r="A33" s="4">
        <v>21</v>
      </c>
      <c r="B33" s="142" t="s">
        <v>225</v>
      </c>
      <c r="C33" s="125" t="s">
        <v>226</v>
      </c>
      <c r="D33" s="52" t="s">
        <v>88</v>
      </c>
      <c r="E33" s="35">
        <f>IF(D33='[1]Priority Ratings'!$C$21,'[1]Priority Ratings'!$B$21,IF(D33='[1]Priority Ratings'!$C$22,'[1]Priority Ratings'!$B$22,IF(D33='[1]Priority Ratings'!$C$23,'[1]Priority Ratings'!$B$23,IF(D33='[1]Priority Ratings'!$C$24,'[1]Priority Ratings'!$B$24,IF(D33='[1]Priority Ratings'!$C$25,'[1]Priority Ratings'!$B$25,IF(D33='[1]Priority Ratings'!$C$26,'[1]Priority Ratings'!$B$26,IF(D33='[1]Priority Ratings'!$C$27,'[1]Priority Ratings'!$B$27,"No Rating")))))))</f>
        <v>1</v>
      </c>
      <c r="F33" s="36">
        <f t="shared" si="0"/>
        <v>1.3157894736842105E-2</v>
      </c>
      <c r="G33" s="37" t="s">
        <v>31</v>
      </c>
      <c r="H33" s="53"/>
      <c r="I33" s="38">
        <f t="shared" si="1"/>
        <v>0</v>
      </c>
      <c r="J33" s="71"/>
      <c r="K33" s="57" t="s">
        <v>38</v>
      </c>
      <c r="L33" s="54"/>
      <c r="M33" s="59"/>
      <c r="N33" s="74"/>
    </row>
    <row r="34" spans="1:15" ht="33">
      <c r="A34" s="54">
        <v>22</v>
      </c>
      <c r="B34" s="142" t="s">
        <v>225</v>
      </c>
      <c r="C34" s="126" t="s">
        <v>227</v>
      </c>
      <c r="D34" s="52" t="s">
        <v>88</v>
      </c>
      <c r="E34" s="35">
        <f>IF(D34='[1]Priority Ratings'!$C$21,'[1]Priority Ratings'!$B$21,IF(D34='[1]Priority Ratings'!$C$22,'[1]Priority Ratings'!$B$22,IF(D34='[1]Priority Ratings'!$C$23,'[1]Priority Ratings'!$B$23,IF(D34='[1]Priority Ratings'!$C$24,'[1]Priority Ratings'!$B$24,IF(D34='[1]Priority Ratings'!$C$25,'[1]Priority Ratings'!$B$25,IF(D34='[1]Priority Ratings'!$C$26,'[1]Priority Ratings'!$B$26,IF(D34='[1]Priority Ratings'!$C$27,'[1]Priority Ratings'!$B$27,"No Rating")))))))</f>
        <v>1</v>
      </c>
      <c r="F34" s="36">
        <f t="shared" si="0"/>
        <v>1.3157894736842105E-2</v>
      </c>
      <c r="G34" s="37" t="s">
        <v>31</v>
      </c>
      <c r="H34" s="53"/>
      <c r="I34" s="38">
        <f t="shared" si="1"/>
        <v>0</v>
      </c>
      <c r="J34" s="71"/>
      <c r="K34" s="57" t="s">
        <v>32</v>
      </c>
      <c r="L34" s="54"/>
      <c r="M34" s="59" t="s">
        <v>228</v>
      </c>
      <c r="N34" s="74" t="s">
        <v>229</v>
      </c>
    </row>
    <row r="35" spans="1:15" ht="110.25">
      <c r="A35" s="4">
        <v>23</v>
      </c>
      <c r="B35" s="142" t="s">
        <v>225</v>
      </c>
      <c r="C35" s="65" t="s">
        <v>230</v>
      </c>
      <c r="D35" s="52" t="s">
        <v>30</v>
      </c>
      <c r="E35" s="35">
        <f>IF(D35='[1]Priority Ratings'!$C$21,'[1]Priority Ratings'!$B$21,IF(D35='[1]Priority Ratings'!$C$22,'[1]Priority Ratings'!$B$22,IF(D35='[1]Priority Ratings'!$C$23,'[1]Priority Ratings'!$B$23,IF(D35='[1]Priority Ratings'!$C$24,'[1]Priority Ratings'!$B$24,IF(D35='[1]Priority Ratings'!$C$25,'[1]Priority Ratings'!$B$25,IF(D35='[1]Priority Ratings'!$C$26,'[1]Priority Ratings'!$B$26,IF(D35='[1]Priority Ratings'!$C$27,'[1]Priority Ratings'!$B$27,"No Rating")))))))</f>
        <v>5</v>
      </c>
      <c r="F35" s="36">
        <f t="shared" si="0"/>
        <v>6.5789473684210523E-2</v>
      </c>
      <c r="G35" s="37" t="s">
        <v>31</v>
      </c>
      <c r="H35" s="53"/>
      <c r="I35" s="38">
        <f t="shared" si="1"/>
        <v>0</v>
      </c>
      <c r="J35" s="71"/>
      <c r="K35" s="52" t="s">
        <v>38</v>
      </c>
      <c r="L35" s="54" t="s">
        <v>231</v>
      </c>
      <c r="M35" s="59"/>
      <c r="N35" s="74"/>
    </row>
    <row r="36" spans="1:15" ht="99">
      <c r="A36" s="54">
        <v>24</v>
      </c>
      <c r="B36" s="142" t="s">
        <v>225</v>
      </c>
      <c r="C36" s="65" t="s">
        <v>232</v>
      </c>
      <c r="D36" s="52" t="s">
        <v>58</v>
      </c>
      <c r="E36" s="35">
        <f>IF(D36='[1]Priority Ratings'!$C$21,'[1]Priority Ratings'!$B$21,IF(D36='[1]Priority Ratings'!$C$22,'[1]Priority Ratings'!$B$22,IF(D36='[1]Priority Ratings'!$C$23,'[1]Priority Ratings'!$B$23,IF(D36='[1]Priority Ratings'!$C$24,'[1]Priority Ratings'!$B$24,IF(D36='[1]Priority Ratings'!$C$25,'[1]Priority Ratings'!$B$25,IF(D36='[1]Priority Ratings'!$C$26,'[1]Priority Ratings'!$B$26,IF(D36='[1]Priority Ratings'!$C$27,'[1]Priority Ratings'!$B$27,"No Rating")))))))</f>
        <v>3</v>
      </c>
      <c r="F36" s="36">
        <f t="shared" si="0"/>
        <v>3.9473684210526314E-2</v>
      </c>
      <c r="G36" s="37" t="s">
        <v>31</v>
      </c>
      <c r="H36" s="53"/>
      <c r="I36" s="38">
        <f t="shared" si="1"/>
        <v>0</v>
      </c>
      <c r="J36" s="71"/>
      <c r="K36" s="52" t="s">
        <v>32</v>
      </c>
      <c r="L36" s="54"/>
      <c r="M36" s="59" t="s">
        <v>228</v>
      </c>
      <c r="N36" s="74">
        <v>7</v>
      </c>
    </row>
    <row r="37" spans="1:15" ht="145.5" customHeight="1">
      <c r="A37" s="4">
        <v>25</v>
      </c>
      <c r="B37" s="142" t="s">
        <v>225</v>
      </c>
      <c r="C37" s="65" t="s">
        <v>233</v>
      </c>
      <c r="D37" s="52" t="s">
        <v>58</v>
      </c>
      <c r="E37" s="35">
        <f>IF(D37='[1]Priority Ratings'!$C$21,'[1]Priority Ratings'!$B$21,IF(D37='[1]Priority Ratings'!$C$22,'[1]Priority Ratings'!$B$22,IF(D37='[1]Priority Ratings'!$C$23,'[1]Priority Ratings'!$B$23,IF(D37='[1]Priority Ratings'!$C$24,'[1]Priority Ratings'!$B$24,IF(D37='[1]Priority Ratings'!$C$25,'[1]Priority Ratings'!$B$25,IF(D37='[1]Priority Ratings'!$C$26,'[1]Priority Ratings'!$B$26,IF(D37='[1]Priority Ratings'!$C$27,'[1]Priority Ratings'!$B$27,"No Rating")))))))</f>
        <v>3</v>
      </c>
      <c r="F37" s="36">
        <f t="shared" si="0"/>
        <v>3.9473684210526314E-2</v>
      </c>
      <c r="G37" s="37" t="s">
        <v>31</v>
      </c>
      <c r="H37" s="53"/>
      <c r="I37" s="38">
        <f t="shared" si="1"/>
        <v>0</v>
      </c>
      <c r="J37" s="71"/>
      <c r="K37" s="52" t="s">
        <v>32</v>
      </c>
      <c r="L37" s="54" t="s">
        <v>234</v>
      </c>
      <c r="M37" s="59"/>
      <c r="N37" s="74" t="s">
        <v>235</v>
      </c>
    </row>
    <row r="38" spans="1:15" ht="99.75" customHeight="1">
      <c r="A38" s="54">
        <v>26</v>
      </c>
      <c r="B38" s="142" t="s">
        <v>225</v>
      </c>
      <c r="C38" s="66" t="s">
        <v>236</v>
      </c>
      <c r="D38" s="52" t="s">
        <v>58</v>
      </c>
      <c r="E38" s="35">
        <f>IF(D38='[1]Priority Ratings'!$C$21,'[1]Priority Ratings'!$B$21,IF(D38='[1]Priority Ratings'!$C$22,'[1]Priority Ratings'!$B$22,IF(D38='[1]Priority Ratings'!$C$23,'[1]Priority Ratings'!$B$23,IF(D38='[1]Priority Ratings'!$C$24,'[1]Priority Ratings'!$B$24,IF(D38='[1]Priority Ratings'!$C$25,'[1]Priority Ratings'!$B$25,IF(D38='[1]Priority Ratings'!$C$26,'[1]Priority Ratings'!$B$26,IF(D38='[1]Priority Ratings'!$C$27,'[1]Priority Ratings'!$B$27,"No Rating")))))))</f>
        <v>3</v>
      </c>
      <c r="F38" s="36">
        <f t="shared" si="0"/>
        <v>3.9473684210526314E-2</v>
      </c>
      <c r="G38" s="37" t="s">
        <v>31</v>
      </c>
      <c r="H38" s="53"/>
      <c r="I38" s="38">
        <f t="shared" si="1"/>
        <v>0</v>
      </c>
      <c r="J38" s="71"/>
      <c r="K38" s="52" t="s">
        <v>32</v>
      </c>
      <c r="L38" s="54"/>
      <c r="M38" s="59" t="s">
        <v>237</v>
      </c>
      <c r="N38" s="74">
        <v>2</v>
      </c>
      <c r="O38" s="177" t="s">
        <v>238</v>
      </c>
    </row>
    <row r="39" spans="1:15">
      <c r="A39" s="40"/>
      <c r="B39" s="41"/>
      <c r="C39" s="41"/>
      <c r="D39" s="40"/>
      <c r="E39" s="40"/>
      <c r="F39" s="40"/>
      <c r="G39" s="40"/>
      <c r="H39" s="40"/>
      <c r="I39" s="42"/>
      <c r="J39" s="71"/>
      <c r="K39" s="52"/>
      <c r="L39" s="54"/>
      <c r="M39" s="59"/>
      <c r="N39" s="74"/>
    </row>
    <row r="40" spans="1:15" ht="14.25">
      <c r="A40" s="4"/>
      <c r="D40" s="44"/>
      <c r="E40" s="45">
        <f>SUM(E13:E38)</f>
        <v>76</v>
      </c>
      <c r="F40" s="46">
        <f>SUM(F13:F38)</f>
        <v>1.0000000000000002</v>
      </c>
      <c r="G40" s="47"/>
      <c r="H40" s="48"/>
      <c r="I40" s="49">
        <f>SUM(I13:I38)</f>
        <v>0</v>
      </c>
    </row>
    <row r="42" spans="1:15" ht="12.75" customHeight="1">
      <c r="A42" s="156"/>
      <c r="B42" s="157"/>
      <c r="C42" s="112" t="s">
        <v>239</v>
      </c>
      <c r="D42" s="156"/>
      <c r="E42" s="156"/>
      <c r="F42" s="156"/>
      <c r="G42" s="158"/>
      <c r="H42" s="156"/>
      <c r="I42" s="156"/>
      <c r="J42" s="159"/>
      <c r="K42" s="158"/>
      <c r="L42" s="158"/>
      <c r="M42" s="160"/>
      <c r="N42" s="158"/>
    </row>
    <row r="43" spans="1:15" ht="31.5" customHeight="1">
      <c r="A43" s="72">
        <v>1</v>
      </c>
      <c r="B43" s="75"/>
      <c r="C43" s="74" t="s">
        <v>240</v>
      </c>
      <c r="D43" s="72"/>
      <c r="E43" s="72"/>
      <c r="F43" s="72"/>
      <c r="G43" s="74"/>
      <c r="H43" s="72"/>
      <c r="I43" s="72"/>
      <c r="J43" s="153"/>
      <c r="K43" s="154" t="s">
        <v>32</v>
      </c>
      <c r="L43" s="74"/>
      <c r="M43" s="59"/>
      <c r="N43" s="74">
        <v>1</v>
      </c>
      <c r="O43" s="177" t="s">
        <v>241</v>
      </c>
    </row>
    <row r="44" spans="1:15" ht="36">
      <c r="A44" s="72">
        <v>2</v>
      </c>
      <c r="B44" s="75"/>
      <c r="C44" s="74" t="s">
        <v>242</v>
      </c>
      <c r="D44" s="72"/>
      <c r="E44" s="72"/>
      <c r="F44" s="72"/>
      <c r="G44" s="74"/>
      <c r="H44" s="72"/>
      <c r="I44" s="72"/>
      <c r="J44" s="153"/>
      <c r="K44" s="154" t="s">
        <v>32</v>
      </c>
      <c r="L44" s="74"/>
      <c r="M44" s="59"/>
      <c r="N44" s="74">
        <v>2</v>
      </c>
      <c r="O44" s="177" t="s">
        <v>243</v>
      </c>
    </row>
    <row r="45" spans="1:15" ht="12.75" customHeight="1">
      <c r="A45" s="72"/>
      <c r="B45" s="75"/>
      <c r="C45" s="74"/>
      <c r="D45" s="72"/>
      <c r="E45" s="72"/>
      <c r="F45" s="72"/>
      <c r="G45" s="74"/>
      <c r="H45" s="72"/>
      <c r="I45" s="72"/>
      <c r="J45" s="153"/>
      <c r="K45" s="74"/>
      <c r="L45" s="74"/>
      <c r="M45" s="59"/>
      <c r="N45" s="74"/>
    </row>
    <row r="46" spans="1:15" ht="12.75" customHeight="1">
      <c r="A46" s="72"/>
      <c r="B46" s="75"/>
      <c r="C46" s="74"/>
      <c r="D46" s="72"/>
      <c r="E46" s="72"/>
      <c r="F46" s="72"/>
      <c r="G46" s="74"/>
      <c r="H46" s="72"/>
      <c r="I46" s="72"/>
      <c r="J46" s="153"/>
      <c r="K46" s="74"/>
      <c r="L46" s="74"/>
      <c r="M46" s="59"/>
      <c r="N46" s="74"/>
    </row>
    <row r="47" spans="1:15" ht="12.75" customHeight="1">
      <c r="A47" s="72"/>
      <c r="B47" s="75"/>
      <c r="C47" s="74"/>
      <c r="D47" s="72"/>
      <c r="E47" s="72"/>
      <c r="F47" s="72"/>
      <c r="G47" s="74"/>
      <c r="H47" s="72"/>
      <c r="I47" s="72"/>
      <c r="J47" s="153"/>
      <c r="K47" s="74"/>
      <c r="L47" s="74"/>
      <c r="M47" s="59"/>
      <c r="N47" s="74"/>
    </row>
    <row r="48" spans="1:15" ht="12.75" customHeight="1">
      <c r="A48" s="72"/>
      <c r="B48" s="75"/>
      <c r="C48" s="74"/>
      <c r="D48" s="72"/>
      <c r="E48" s="72"/>
      <c r="F48" s="72"/>
      <c r="G48" s="74"/>
      <c r="H48" s="72"/>
      <c r="I48" s="72"/>
      <c r="J48" s="153"/>
      <c r="K48" s="74"/>
      <c r="L48" s="74"/>
      <c r="M48" s="59"/>
      <c r="N48" s="74"/>
    </row>
    <row r="49" spans="1:14" ht="12.75" customHeight="1">
      <c r="A49" s="72"/>
      <c r="B49" s="75"/>
      <c r="C49" s="74"/>
      <c r="D49" s="72"/>
      <c r="E49" s="72"/>
      <c r="F49" s="72"/>
      <c r="G49" s="74"/>
      <c r="H49" s="72"/>
      <c r="I49" s="72"/>
      <c r="J49" s="153"/>
      <c r="K49" s="74"/>
      <c r="L49" s="74"/>
      <c r="M49" s="59"/>
      <c r="N49" s="74"/>
    </row>
    <row r="50" spans="1:14" ht="12.75" customHeight="1">
      <c r="A50" s="72"/>
      <c r="B50" s="75"/>
      <c r="C50" s="74"/>
      <c r="D50" s="72"/>
      <c r="E50" s="72"/>
      <c r="F50" s="72"/>
      <c r="G50" s="74"/>
      <c r="H50" s="72"/>
      <c r="I50" s="72"/>
      <c r="J50" s="153"/>
      <c r="K50" s="74"/>
      <c r="L50" s="74"/>
      <c r="M50" s="59"/>
      <c r="N50" s="74"/>
    </row>
    <row r="51" spans="1:14" ht="12.75" customHeight="1">
      <c r="A51" s="72"/>
      <c r="B51" s="75"/>
      <c r="C51" s="74"/>
      <c r="D51" s="72"/>
      <c r="E51" s="72"/>
      <c r="F51" s="72"/>
      <c r="G51" s="74"/>
      <c r="H51" s="72"/>
      <c r="I51" s="72"/>
      <c r="J51" s="153"/>
      <c r="K51" s="74"/>
      <c r="L51" s="74"/>
      <c r="M51" s="59"/>
      <c r="N51" s="74"/>
    </row>
    <row r="52" spans="1:14" ht="12.75" customHeight="1">
      <c r="A52" s="72"/>
      <c r="B52" s="75"/>
      <c r="C52" s="74"/>
      <c r="D52" s="72"/>
      <c r="E52" s="72"/>
      <c r="F52" s="72"/>
      <c r="G52" s="74"/>
      <c r="H52" s="72"/>
      <c r="I52" s="72"/>
      <c r="J52" s="153"/>
      <c r="K52" s="74"/>
      <c r="L52" s="74"/>
      <c r="M52" s="59"/>
      <c r="N52" s="74"/>
    </row>
  </sheetData>
  <mergeCells count="10">
    <mergeCell ref="O11:O12"/>
    <mergeCell ref="M11:M12"/>
    <mergeCell ref="N11:N12"/>
    <mergeCell ref="K11:K12"/>
    <mergeCell ref="L11:L12"/>
    <mergeCell ref="D2:D3"/>
    <mergeCell ref="E2:F3"/>
    <mergeCell ref="B9:G9"/>
    <mergeCell ref="G11:I11"/>
    <mergeCell ref="J11:J12"/>
  </mergeCells>
  <conditionalFormatting sqref="K1:K1048576">
    <cfRule type="containsText" dxfId="1" priority="2" operator="containsText" text="Non-">
      <formula>NOT(ISERROR(SEARCH("Non-",K1)))</formula>
    </cfRule>
  </conditionalFormatting>
  <conditionalFormatting sqref="L13:L15">
    <cfRule type="containsText" dxfId="0" priority="1" operator="containsText" text="Non-">
      <formula>NOT(ISERROR(SEARCH("Non-",L13)))</formula>
    </cfRule>
  </conditionalFormatting>
  <dataValidations count="2">
    <dataValidation type="list" allowBlank="1" showInputMessage="1" showErrorMessage="1" sqref="H13:H38" xr:uid="{42D420E1-8C8D-4DE9-B931-D9F160399746}">
      <formula1>"0%,50%,100%"</formula1>
    </dataValidation>
    <dataValidation type="list" allowBlank="1" showInputMessage="1" showErrorMessage="1" sqref="D13:D38" xr:uid="{77270085-0281-4B28-87C4-FFA07D6D815D}">
      <formula1>Priority</formula1>
    </dataValidation>
  </dataValidations>
  <hyperlinks>
    <hyperlink ref="O44" r:id="rId1" xr:uid="{D7026199-AB2E-4F3A-997F-0D38777071C6}"/>
    <hyperlink ref="O43" r:id="rId2" xr:uid="{2A1DAF76-70D8-40C8-9A8B-F5DEAA68E9BB}"/>
    <hyperlink ref="O38" r:id="rId3" xr:uid="{2278B76C-743C-4183-8F66-515C8B193E19}"/>
  </hyperlinks>
  <pageMargins left="0.7" right="0.7" top="0.75" bottom="0.75" header="0.3" footer="0.3"/>
  <pageSetup paperSize="9" orientation="portrait" horizontalDpi="0" verticalDpi="0"/>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1D8CB-0441-480D-90CC-A1B9201647EE}">
  <dimension ref="A1:D2"/>
  <sheetViews>
    <sheetView workbookViewId="0"/>
  </sheetViews>
  <sheetFormatPr defaultRowHeight="14.25"/>
  <cols>
    <col min="2" max="2" width="14.25" customWidth="1"/>
    <col min="3" max="3" width="74.875" customWidth="1"/>
    <col min="4" max="4" width="63" customWidth="1"/>
  </cols>
  <sheetData>
    <row r="1" spans="1:4" ht="24">
      <c r="A1" s="150" t="s">
        <v>20</v>
      </c>
      <c r="B1" s="151" t="s">
        <v>21</v>
      </c>
      <c r="C1" s="151" t="s">
        <v>22</v>
      </c>
      <c r="D1" s="151"/>
    </row>
    <row r="2" spans="1:4" ht="133.5" customHeight="1">
      <c r="A2" s="121">
        <v>24</v>
      </c>
      <c r="B2" s="148" t="s">
        <v>225</v>
      </c>
      <c r="C2" s="149" t="s">
        <v>232</v>
      </c>
      <c r="D2" s="152" t="s">
        <v>244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517A1-91B2-4B1C-A777-ECE618B9F693}">
  <dimension ref="A1:J41"/>
  <sheetViews>
    <sheetView topLeftCell="A9" workbookViewId="0">
      <selection activeCell="B12" sqref="B12:C39"/>
    </sheetView>
  </sheetViews>
  <sheetFormatPr defaultColWidth="6.625" defaultRowHeight="12.6"/>
  <cols>
    <col min="1" max="1" width="5.5" style="3" bestFit="1" customWidth="1"/>
    <col min="2" max="2" width="21" style="23" customWidth="1"/>
    <col min="3" max="3" width="39.5" style="50" customWidth="1"/>
    <col min="4" max="4" width="13.375" style="3" customWidth="1"/>
    <col min="5" max="5" width="8.375" style="3" customWidth="1"/>
    <col min="6" max="6" width="10.375" style="3" customWidth="1"/>
    <col min="7" max="7" width="35" style="4" customWidth="1"/>
    <col min="8" max="8" width="35" style="3" customWidth="1"/>
    <col min="9" max="9" width="11.125" style="3" customWidth="1"/>
    <col min="10" max="10" width="22.375" style="5" customWidth="1"/>
    <col min="11" max="16384" width="6.625" style="5"/>
  </cols>
  <sheetData>
    <row r="1" spans="1:10" ht="12.95">
      <c r="A1" s="1"/>
      <c r="B1" s="2"/>
      <c r="C1" s="1"/>
    </row>
    <row r="2" spans="1:10" ht="14.1">
      <c r="A2" s="1"/>
      <c r="B2" s="6" t="s">
        <v>0</v>
      </c>
      <c r="C2" s="7" t="str">
        <f>'[1]Scoring Summary'!C2</f>
        <v>&lt;insert before tender publication&gt;</v>
      </c>
      <c r="D2" s="190"/>
      <c r="E2" s="191" t="s">
        <v>1</v>
      </c>
      <c r="F2" s="192"/>
    </row>
    <row r="3" spans="1:10" ht="14.1">
      <c r="A3" s="1"/>
      <c r="B3" s="6" t="s">
        <v>2</v>
      </c>
      <c r="C3" s="7" t="str">
        <f>'[1]Scoring Summary'!C3</f>
        <v>&lt;insert before tender publication&gt;</v>
      </c>
      <c r="D3" s="190"/>
      <c r="E3" s="193"/>
      <c r="F3" s="194"/>
      <c r="H3" s="9"/>
    </row>
    <row r="4" spans="1:10" ht="27.95">
      <c r="A4" s="1"/>
      <c r="B4" s="6" t="s">
        <v>3</v>
      </c>
      <c r="C4" s="7" t="str">
        <f>'[1]Scoring Summary'!C4</f>
        <v>&lt;Evaluator to complete&gt;</v>
      </c>
      <c r="D4" s="10"/>
      <c r="E4" s="11" t="s">
        <v>245</v>
      </c>
      <c r="F4" s="12"/>
      <c r="H4" s="13"/>
    </row>
    <row r="5" spans="1:10" ht="15.6">
      <c r="A5" s="1"/>
      <c r="B5" s="6" t="s">
        <v>5</v>
      </c>
      <c r="C5" s="7" t="str">
        <f>'[1]Scoring Summary'!C5</f>
        <v>&lt;Evaluator to complete&gt;</v>
      </c>
      <c r="D5" s="8"/>
      <c r="E5" s="14"/>
      <c r="F5" s="15"/>
      <c r="H5" s="13"/>
    </row>
    <row r="6" spans="1:10" ht="14.1">
      <c r="B6" s="6" t="s">
        <v>6</v>
      </c>
      <c r="C6" s="7" t="str">
        <f>'[1]Scoring Summary'!C6</f>
        <v>&lt;Evaluator to complete&gt;</v>
      </c>
      <c r="H6" s="13"/>
    </row>
    <row r="7" spans="1:10" ht="14.1">
      <c r="A7" s="16"/>
      <c r="B7" s="6" t="s">
        <v>7</v>
      </c>
      <c r="C7" s="7"/>
    </row>
    <row r="8" spans="1:10" ht="14.1" customHeight="1">
      <c r="A8" s="16"/>
      <c r="B8" s="18"/>
      <c r="C8" s="51"/>
    </row>
    <row r="9" spans="1:10" ht="151.35" customHeight="1">
      <c r="A9" s="16"/>
      <c r="B9" s="195" t="s">
        <v>8</v>
      </c>
      <c r="C9" s="195"/>
      <c r="D9" s="195"/>
      <c r="E9" s="195"/>
      <c r="F9" s="195"/>
      <c r="G9" s="195"/>
    </row>
    <row r="10" spans="1:10" ht="12.95">
      <c r="A10" s="16"/>
      <c r="B10" s="20"/>
      <c r="C10" s="20"/>
      <c r="D10" s="20"/>
      <c r="E10" s="20"/>
      <c r="F10" s="20"/>
      <c r="G10" s="20"/>
    </row>
    <row r="11" spans="1:10" ht="26.1">
      <c r="A11" s="21"/>
      <c r="B11" s="22"/>
      <c r="C11" s="23"/>
      <c r="D11" s="24" t="s">
        <v>9</v>
      </c>
      <c r="E11" s="25" t="s">
        <v>10</v>
      </c>
      <c r="F11" s="26"/>
      <c r="G11" s="213" t="s">
        <v>11</v>
      </c>
      <c r="H11" s="214"/>
      <c r="I11" s="215"/>
      <c r="J11" s="216" t="s">
        <v>12</v>
      </c>
    </row>
    <row r="12" spans="1:10" ht="26.1">
      <c r="A12" s="27" t="s">
        <v>20</v>
      </c>
      <c r="B12" s="28" t="s">
        <v>246</v>
      </c>
      <c r="C12" s="29" t="s">
        <v>247</v>
      </c>
      <c r="D12" s="30" t="s">
        <v>23</v>
      </c>
      <c r="E12" s="31" t="s">
        <v>9</v>
      </c>
      <c r="F12" s="31" t="s">
        <v>24</v>
      </c>
      <c r="G12" s="32" t="s">
        <v>25</v>
      </c>
      <c r="H12" s="32" t="s">
        <v>26</v>
      </c>
      <c r="I12" s="33" t="s">
        <v>27</v>
      </c>
      <c r="J12" s="216"/>
    </row>
    <row r="13" spans="1:10" ht="50.1">
      <c r="A13" s="52">
        <v>1</v>
      </c>
      <c r="B13" s="34" t="s">
        <v>248</v>
      </c>
      <c r="C13" s="39" t="s">
        <v>249</v>
      </c>
      <c r="D13" s="52" t="s">
        <v>30</v>
      </c>
      <c r="E13" s="35">
        <f>IF(D13='[1]Priority Ratings'!$C$21,'[1]Priority Ratings'!$B$21,IF(D13='[1]Priority Ratings'!$C$22,'[1]Priority Ratings'!$B$22,IF(D13='[1]Priority Ratings'!$C$23,'[1]Priority Ratings'!$B$23,IF(D13='[1]Priority Ratings'!$C$24,'[1]Priority Ratings'!$B$24,IF(D13='[1]Priority Ratings'!$C$25,'[1]Priority Ratings'!$B$25,IF(D13='[1]Priority Ratings'!$C$26,'[1]Priority Ratings'!$B$26,IF(D13='[1]Priority Ratings'!$C$27,'[1]Priority Ratings'!$B$27,"No Rating")))))))</f>
        <v>5</v>
      </c>
      <c r="F13" s="36">
        <f t="shared" ref="F13:F39" si="0">E13/E$41</f>
        <v>3.7593984962406013E-2</v>
      </c>
      <c r="G13" s="37" t="s">
        <v>31</v>
      </c>
      <c r="H13" s="53"/>
      <c r="I13" s="38">
        <f t="shared" ref="I13:I39" si="1">F13*H13</f>
        <v>0</v>
      </c>
      <c r="J13" s="43"/>
    </row>
    <row r="14" spans="1:10" ht="50.1">
      <c r="A14" s="52">
        <v>2</v>
      </c>
      <c r="B14" s="34" t="s">
        <v>250</v>
      </c>
      <c r="C14" s="39" t="s">
        <v>251</v>
      </c>
      <c r="D14" s="52" t="s">
        <v>30</v>
      </c>
      <c r="E14" s="35">
        <f>IF(D14='[1]Priority Ratings'!$C$21,'[1]Priority Ratings'!$B$21,IF(D14='[1]Priority Ratings'!$C$22,'[1]Priority Ratings'!$B$22,IF(D14='[1]Priority Ratings'!$C$23,'[1]Priority Ratings'!$B$23,IF(D14='[1]Priority Ratings'!$C$24,'[1]Priority Ratings'!$B$24,IF(D14='[1]Priority Ratings'!$C$25,'[1]Priority Ratings'!$B$25,IF(D14='[1]Priority Ratings'!$C$26,'[1]Priority Ratings'!$B$26,IF(D14='[1]Priority Ratings'!$C$27,'[1]Priority Ratings'!$B$27,"No Rating")))))))</f>
        <v>5</v>
      </c>
      <c r="F14" s="36">
        <f t="shared" si="0"/>
        <v>3.7593984962406013E-2</v>
      </c>
      <c r="G14" s="37" t="s">
        <v>31</v>
      </c>
      <c r="H14" s="53"/>
      <c r="I14" s="38">
        <f t="shared" si="1"/>
        <v>0</v>
      </c>
      <c r="J14" s="43"/>
    </row>
    <row r="15" spans="1:10" ht="137.44999999999999">
      <c r="A15" s="52">
        <v>3</v>
      </c>
      <c r="B15" s="34" t="s">
        <v>252</v>
      </c>
      <c r="C15" s="39" t="s">
        <v>253</v>
      </c>
      <c r="D15" s="52" t="s">
        <v>30</v>
      </c>
      <c r="E15" s="35">
        <f>IF(D15='[1]Priority Ratings'!$C$21,'[1]Priority Ratings'!$B$21,IF(D15='[1]Priority Ratings'!$C$22,'[1]Priority Ratings'!$B$22,IF(D15='[1]Priority Ratings'!$C$23,'[1]Priority Ratings'!$B$23,IF(D15='[1]Priority Ratings'!$C$24,'[1]Priority Ratings'!$B$24,IF(D15='[1]Priority Ratings'!$C$25,'[1]Priority Ratings'!$B$25,IF(D15='[1]Priority Ratings'!$C$26,'[1]Priority Ratings'!$B$26,IF(D15='[1]Priority Ratings'!$C$27,'[1]Priority Ratings'!$B$27,"No Rating")))))))</f>
        <v>5</v>
      </c>
      <c r="F15" s="36">
        <f t="shared" si="0"/>
        <v>3.7593984962406013E-2</v>
      </c>
      <c r="G15" s="37" t="s">
        <v>31</v>
      </c>
      <c r="H15" s="53"/>
      <c r="I15" s="38">
        <f t="shared" si="1"/>
        <v>0</v>
      </c>
      <c r="J15" s="43"/>
    </row>
    <row r="16" spans="1:10" ht="174.95">
      <c r="A16" s="52">
        <v>4</v>
      </c>
      <c r="B16" s="34" t="s">
        <v>254</v>
      </c>
      <c r="C16" s="55" t="s">
        <v>255</v>
      </c>
      <c r="D16" s="52" t="s">
        <v>30</v>
      </c>
      <c r="E16" s="35">
        <f>IF(D16='[1]Priority Ratings'!$C$21,'[1]Priority Ratings'!$B$21,IF(D16='[1]Priority Ratings'!$C$22,'[1]Priority Ratings'!$B$22,IF(D16='[1]Priority Ratings'!$C$23,'[1]Priority Ratings'!$B$23,IF(D16='[1]Priority Ratings'!$C$24,'[1]Priority Ratings'!$B$24,IF(D16='[1]Priority Ratings'!$C$25,'[1]Priority Ratings'!$B$25,IF(D16='[1]Priority Ratings'!$C$26,'[1]Priority Ratings'!$B$26,IF(D16='[1]Priority Ratings'!$C$27,'[1]Priority Ratings'!$B$27,"No Rating")))))))</f>
        <v>5</v>
      </c>
      <c r="F16" s="36">
        <f t="shared" si="0"/>
        <v>3.7593984962406013E-2</v>
      </c>
      <c r="G16" s="37" t="s">
        <v>31</v>
      </c>
      <c r="H16" s="53"/>
      <c r="I16" s="38">
        <f t="shared" si="1"/>
        <v>0</v>
      </c>
      <c r="J16" s="43"/>
    </row>
    <row r="17" spans="1:10" ht="112.5">
      <c r="A17" s="52">
        <v>5</v>
      </c>
      <c r="B17" s="34" t="s">
        <v>254</v>
      </c>
      <c r="C17" s="55" t="s">
        <v>256</v>
      </c>
      <c r="D17" s="52" t="s">
        <v>30</v>
      </c>
      <c r="E17" s="35">
        <f>IF(D17='[1]Priority Ratings'!$C$21,'[1]Priority Ratings'!$B$21,IF(D17='[1]Priority Ratings'!$C$22,'[1]Priority Ratings'!$B$22,IF(D17='[1]Priority Ratings'!$C$23,'[1]Priority Ratings'!$B$23,IF(D17='[1]Priority Ratings'!$C$24,'[1]Priority Ratings'!$B$24,IF(D17='[1]Priority Ratings'!$C$25,'[1]Priority Ratings'!$B$25,IF(D17='[1]Priority Ratings'!$C$26,'[1]Priority Ratings'!$B$26,IF(D17='[1]Priority Ratings'!$C$27,'[1]Priority Ratings'!$B$27,"No Rating")))))))</f>
        <v>5</v>
      </c>
      <c r="F17" s="36">
        <f t="shared" si="0"/>
        <v>3.7593984962406013E-2</v>
      </c>
      <c r="G17" s="37" t="s">
        <v>31</v>
      </c>
      <c r="H17" s="53"/>
      <c r="I17" s="38">
        <f t="shared" si="1"/>
        <v>0</v>
      </c>
      <c r="J17" s="43"/>
    </row>
    <row r="18" spans="1:10" ht="191.1" customHeight="1">
      <c r="A18" s="52">
        <v>6</v>
      </c>
      <c r="B18" s="34" t="s">
        <v>254</v>
      </c>
      <c r="C18" s="55" t="s">
        <v>257</v>
      </c>
      <c r="D18" s="52" t="s">
        <v>30</v>
      </c>
      <c r="E18" s="35">
        <f>IF(D18='[1]Priority Ratings'!$C$21,'[1]Priority Ratings'!$B$21,IF(D18='[1]Priority Ratings'!$C$22,'[1]Priority Ratings'!$B$22,IF(D18='[1]Priority Ratings'!$C$23,'[1]Priority Ratings'!$B$23,IF(D18='[1]Priority Ratings'!$C$24,'[1]Priority Ratings'!$B$24,IF(D18='[1]Priority Ratings'!$C$25,'[1]Priority Ratings'!$B$25,IF(D18='[1]Priority Ratings'!$C$26,'[1]Priority Ratings'!$B$26,IF(D18='[1]Priority Ratings'!$C$27,'[1]Priority Ratings'!$B$27,"No Rating")))))))</f>
        <v>5</v>
      </c>
      <c r="F18" s="36">
        <f t="shared" si="0"/>
        <v>3.7593984962406013E-2</v>
      </c>
      <c r="G18" s="37" t="s">
        <v>31</v>
      </c>
      <c r="H18" s="53"/>
      <c r="I18" s="38">
        <f t="shared" si="1"/>
        <v>0</v>
      </c>
      <c r="J18" s="43"/>
    </row>
    <row r="19" spans="1:10" ht="150">
      <c r="A19" s="52">
        <v>7</v>
      </c>
      <c r="B19" s="34" t="s">
        <v>254</v>
      </c>
      <c r="C19" s="55" t="s">
        <v>258</v>
      </c>
      <c r="D19" s="52" t="s">
        <v>30</v>
      </c>
      <c r="E19" s="35">
        <f>IF(D19='[1]Priority Ratings'!$C$21,'[1]Priority Ratings'!$B$21,IF(D19='[1]Priority Ratings'!$C$22,'[1]Priority Ratings'!$B$22,IF(D19='[1]Priority Ratings'!$C$23,'[1]Priority Ratings'!$B$23,IF(D19='[1]Priority Ratings'!$C$24,'[1]Priority Ratings'!$B$24,IF(D19='[1]Priority Ratings'!$C$25,'[1]Priority Ratings'!$B$25,IF(D19='[1]Priority Ratings'!$C$26,'[1]Priority Ratings'!$B$26,IF(D19='[1]Priority Ratings'!$C$27,'[1]Priority Ratings'!$B$27,"No Rating")))))))</f>
        <v>5</v>
      </c>
      <c r="F19" s="36">
        <f t="shared" si="0"/>
        <v>3.7593984962406013E-2</v>
      </c>
      <c r="G19" s="37" t="s">
        <v>31</v>
      </c>
      <c r="H19" s="53"/>
      <c r="I19" s="38">
        <f t="shared" si="1"/>
        <v>0</v>
      </c>
      <c r="J19" s="43"/>
    </row>
    <row r="20" spans="1:10" ht="125.1">
      <c r="A20" s="52">
        <v>8</v>
      </c>
      <c r="B20" s="34" t="s">
        <v>254</v>
      </c>
      <c r="C20" s="55" t="s">
        <v>259</v>
      </c>
      <c r="D20" s="52" t="s">
        <v>30</v>
      </c>
      <c r="E20" s="35">
        <f>IF(D20='[1]Priority Ratings'!$C$21,'[1]Priority Ratings'!$B$21,IF(D20='[1]Priority Ratings'!$C$22,'[1]Priority Ratings'!$B$22,IF(D20='[1]Priority Ratings'!$C$23,'[1]Priority Ratings'!$B$23,IF(D20='[1]Priority Ratings'!$C$24,'[1]Priority Ratings'!$B$24,IF(D20='[1]Priority Ratings'!$C$25,'[1]Priority Ratings'!$B$25,IF(D20='[1]Priority Ratings'!$C$26,'[1]Priority Ratings'!$B$26,IF(D20='[1]Priority Ratings'!$C$27,'[1]Priority Ratings'!$B$27,"No Rating")))))))</f>
        <v>5</v>
      </c>
      <c r="F20" s="36">
        <f t="shared" si="0"/>
        <v>3.7593984962406013E-2</v>
      </c>
      <c r="G20" s="37" t="s">
        <v>31</v>
      </c>
      <c r="H20" s="53"/>
      <c r="I20" s="38">
        <f t="shared" si="1"/>
        <v>0</v>
      </c>
      <c r="J20" s="43"/>
    </row>
    <row r="21" spans="1:10" ht="62.45">
      <c r="A21" s="52">
        <v>9</v>
      </c>
      <c r="B21" s="34" t="s">
        <v>254</v>
      </c>
      <c r="C21" s="55" t="s">
        <v>260</v>
      </c>
      <c r="D21" s="52" t="s">
        <v>30</v>
      </c>
      <c r="E21" s="35">
        <f>IF(D21='[1]Priority Ratings'!$C$21,'[1]Priority Ratings'!$B$21,IF(D21='[1]Priority Ratings'!$C$22,'[1]Priority Ratings'!$B$22,IF(D21='[1]Priority Ratings'!$C$23,'[1]Priority Ratings'!$B$23,IF(D21='[1]Priority Ratings'!$C$24,'[1]Priority Ratings'!$B$24,IF(D21='[1]Priority Ratings'!$C$25,'[1]Priority Ratings'!$B$25,IF(D21='[1]Priority Ratings'!$C$26,'[1]Priority Ratings'!$B$26,IF(D21='[1]Priority Ratings'!$C$27,'[1]Priority Ratings'!$B$27,"No Rating")))))))</f>
        <v>5</v>
      </c>
      <c r="F21" s="36">
        <f t="shared" si="0"/>
        <v>3.7593984962406013E-2</v>
      </c>
      <c r="G21" s="37" t="s">
        <v>31</v>
      </c>
      <c r="H21" s="53"/>
      <c r="I21" s="38">
        <f t="shared" si="1"/>
        <v>0</v>
      </c>
      <c r="J21" s="43"/>
    </row>
    <row r="22" spans="1:10" ht="99.95">
      <c r="A22" s="52">
        <v>10</v>
      </c>
      <c r="B22" s="34" t="s">
        <v>254</v>
      </c>
      <c r="C22" s="55" t="s">
        <v>261</v>
      </c>
      <c r="D22" s="52" t="s">
        <v>30</v>
      </c>
      <c r="E22" s="35">
        <f>IF(D22='[1]Priority Ratings'!$C$21,'[1]Priority Ratings'!$B$21,IF(D22='[1]Priority Ratings'!$C$22,'[1]Priority Ratings'!$B$22,IF(D22='[1]Priority Ratings'!$C$23,'[1]Priority Ratings'!$B$23,IF(D22='[1]Priority Ratings'!$C$24,'[1]Priority Ratings'!$B$24,IF(D22='[1]Priority Ratings'!$C$25,'[1]Priority Ratings'!$B$25,IF(D22='[1]Priority Ratings'!$C$26,'[1]Priority Ratings'!$B$26,IF(D22='[1]Priority Ratings'!$C$27,'[1]Priority Ratings'!$B$27,"No Rating")))))))</f>
        <v>5</v>
      </c>
      <c r="F22" s="36">
        <f t="shared" si="0"/>
        <v>3.7593984962406013E-2</v>
      </c>
      <c r="G22" s="37" t="s">
        <v>31</v>
      </c>
      <c r="H22" s="53"/>
      <c r="I22" s="38">
        <f t="shared" si="1"/>
        <v>0</v>
      </c>
      <c r="J22" s="43"/>
    </row>
    <row r="23" spans="1:10" ht="125.1">
      <c r="A23" s="52">
        <v>11</v>
      </c>
      <c r="B23" s="34" t="s">
        <v>254</v>
      </c>
      <c r="C23" s="55" t="s">
        <v>262</v>
      </c>
      <c r="D23" s="52" t="s">
        <v>30</v>
      </c>
      <c r="E23" s="35">
        <f>IF(D23='[1]Priority Ratings'!$C$21,'[1]Priority Ratings'!$B$21,IF(D23='[1]Priority Ratings'!$C$22,'[1]Priority Ratings'!$B$22,IF(D23='[1]Priority Ratings'!$C$23,'[1]Priority Ratings'!$B$23,IF(D23='[1]Priority Ratings'!$C$24,'[1]Priority Ratings'!$B$24,IF(D23='[1]Priority Ratings'!$C$25,'[1]Priority Ratings'!$B$25,IF(D23='[1]Priority Ratings'!$C$26,'[1]Priority Ratings'!$B$26,IF(D23='[1]Priority Ratings'!$C$27,'[1]Priority Ratings'!$B$27,"No Rating")))))))</f>
        <v>5</v>
      </c>
      <c r="F23" s="36">
        <f t="shared" si="0"/>
        <v>3.7593984962406013E-2</v>
      </c>
      <c r="G23" s="37" t="s">
        <v>31</v>
      </c>
      <c r="H23" s="53"/>
      <c r="I23" s="38">
        <f t="shared" si="1"/>
        <v>0</v>
      </c>
      <c r="J23" s="43"/>
    </row>
    <row r="24" spans="1:10" ht="99.95">
      <c r="A24" s="52">
        <v>12</v>
      </c>
      <c r="B24" s="34" t="s">
        <v>254</v>
      </c>
      <c r="C24" s="55" t="s">
        <v>263</v>
      </c>
      <c r="D24" s="52" t="s">
        <v>30</v>
      </c>
      <c r="E24" s="35">
        <f>IF(D24='[1]Priority Ratings'!$C$21,'[1]Priority Ratings'!$B$21,IF(D24='[1]Priority Ratings'!$C$22,'[1]Priority Ratings'!$B$22,IF(D24='[1]Priority Ratings'!$C$23,'[1]Priority Ratings'!$B$23,IF(D24='[1]Priority Ratings'!$C$24,'[1]Priority Ratings'!$B$24,IF(D24='[1]Priority Ratings'!$C$25,'[1]Priority Ratings'!$B$25,IF(D24='[1]Priority Ratings'!$C$26,'[1]Priority Ratings'!$B$26,IF(D24='[1]Priority Ratings'!$C$27,'[1]Priority Ratings'!$B$27,"No Rating")))))))</f>
        <v>5</v>
      </c>
      <c r="F24" s="36">
        <f>E24/E$41</f>
        <v>3.7593984962406013E-2</v>
      </c>
      <c r="G24" s="37" t="s">
        <v>31</v>
      </c>
      <c r="H24" s="53"/>
      <c r="I24" s="38">
        <f t="shared" si="1"/>
        <v>0</v>
      </c>
      <c r="J24" s="43"/>
    </row>
    <row r="25" spans="1:10" ht="99.95">
      <c r="A25" s="52">
        <v>13</v>
      </c>
      <c r="B25" s="34" t="s">
        <v>254</v>
      </c>
      <c r="C25" s="55" t="s">
        <v>264</v>
      </c>
      <c r="D25" s="52" t="s">
        <v>30</v>
      </c>
      <c r="E25" s="35">
        <f>IF(D25='[1]Priority Ratings'!$C$21,'[1]Priority Ratings'!$B$21,IF(D25='[1]Priority Ratings'!$C$22,'[1]Priority Ratings'!$B$22,IF(D25='[1]Priority Ratings'!$C$23,'[1]Priority Ratings'!$B$23,IF(D25='[1]Priority Ratings'!$C$24,'[1]Priority Ratings'!$B$24,IF(D25='[1]Priority Ratings'!$C$25,'[1]Priority Ratings'!$B$25,IF(D25='[1]Priority Ratings'!$C$26,'[1]Priority Ratings'!$B$26,IF(D25='[1]Priority Ratings'!$C$27,'[1]Priority Ratings'!$B$27,"No Rating")))))))</f>
        <v>5</v>
      </c>
      <c r="F25" s="36">
        <f t="shared" si="0"/>
        <v>3.7593984962406013E-2</v>
      </c>
      <c r="G25" s="37" t="s">
        <v>31</v>
      </c>
      <c r="H25" s="53"/>
      <c r="I25" s="38">
        <f t="shared" si="1"/>
        <v>0</v>
      </c>
      <c r="J25" s="43"/>
    </row>
    <row r="26" spans="1:10" ht="87.6">
      <c r="A26" s="52">
        <v>14</v>
      </c>
      <c r="B26" s="34" t="s">
        <v>254</v>
      </c>
      <c r="C26" s="55" t="s">
        <v>265</v>
      </c>
      <c r="D26" s="52" t="s">
        <v>30</v>
      </c>
      <c r="E26" s="35">
        <f>IF(D26='[1]Priority Ratings'!$C$21,'[1]Priority Ratings'!$B$21,IF(D26='[1]Priority Ratings'!$C$22,'[1]Priority Ratings'!$B$22,IF(D26='[1]Priority Ratings'!$C$23,'[1]Priority Ratings'!$B$23,IF(D26='[1]Priority Ratings'!$C$24,'[1]Priority Ratings'!$B$24,IF(D26='[1]Priority Ratings'!$C$25,'[1]Priority Ratings'!$B$25,IF(D26='[1]Priority Ratings'!$C$26,'[1]Priority Ratings'!$B$26,IF(D26='[1]Priority Ratings'!$C$27,'[1]Priority Ratings'!$B$27,"No Rating")))))))</f>
        <v>5</v>
      </c>
      <c r="F26" s="36">
        <f>E26/E$41</f>
        <v>3.7593984962406013E-2</v>
      </c>
      <c r="G26" s="37" t="s">
        <v>31</v>
      </c>
      <c r="H26" s="53"/>
      <c r="I26" s="38">
        <f t="shared" si="1"/>
        <v>0</v>
      </c>
      <c r="J26" s="43"/>
    </row>
    <row r="27" spans="1:10" ht="112.5">
      <c r="A27" s="52">
        <v>15</v>
      </c>
      <c r="B27" s="34" t="s">
        <v>254</v>
      </c>
      <c r="C27" s="55" t="s">
        <v>266</v>
      </c>
      <c r="D27" s="52" t="s">
        <v>30</v>
      </c>
      <c r="E27" s="35">
        <f>IF(D27='[1]Priority Ratings'!$C$21,'[1]Priority Ratings'!$B$21,IF(D27='[1]Priority Ratings'!$C$22,'[1]Priority Ratings'!$B$22,IF(D27='[1]Priority Ratings'!$C$23,'[1]Priority Ratings'!$B$23,IF(D27='[1]Priority Ratings'!$C$24,'[1]Priority Ratings'!$B$24,IF(D27='[1]Priority Ratings'!$C$25,'[1]Priority Ratings'!$B$25,IF(D27='[1]Priority Ratings'!$C$26,'[1]Priority Ratings'!$B$26,IF(D27='[1]Priority Ratings'!$C$27,'[1]Priority Ratings'!$B$27,"No Rating")))))))</f>
        <v>5</v>
      </c>
      <c r="F27" s="36">
        <f t="shared" si="0"/>
        <v>3.7593984962406013E-2</v>
      </c>
      <c r="G27" s="37" t="s">
        <v>31</v>
      </c>
      <c r="H27" s="53"/>
      <c r="I27" s="38">
        <f t="shared" si="1"/>
        <v>0</v>
      </c>
      <c r="J27" s="43"/>
    </row>
    <row r="28" spans="1:10" ht="99.95">
      <c r="A28" s="52">
        <v>16</v>
      </c>
      <c r="B28" s="34" t="s">
        <v>254</v>
      </c>
      <c r="C28" s="55" t="s">
        <v>267</v>
      </c>
      <c r="D28" s="52" t="s">
        <v>30</v>
      </c>
      <c r="E28" s="35">
        <f>IF(D28='[1]Priority Ratings'!$C$21,'[1]Priority Ratings'!$B$21,IF(D28='[1]Priority Ratings'!$C$22,'[1]Priority Ratings'!$B$22,IF(D28='[1]Priority Ratings'!$C$23,'[1]Priority Ratings'!$B$23,IF(D28='[1]Priority Ratings'!$C$24,'[1]Priority Ratings'!$B$24,IF(D28='[1]Priority Ratings'!$C$25,'[1]Priority Ratings'!$B$25,IF(D28='[1]Priority Ratings'!$C$26,'[1]Priority Ratings'!$B$26,IF(D28='[1]Priority Ratings'!$C$27,'[1]Priority Ratings'!$B$27,"No Rating")))))))</f>
        <v>5</v>
      </c>
      <c r="F28" s="36">
        <f t="shared" si="0"/>
        <v>3.7593984962406013E-2</v>
      </c>
      <c r="G28" s="37" t="s">
        <v>31</v>
      </c>
      <c r="H28" s="53"/>
      <c r="I28" s="38">
        <f t="shared" si="1"/>
        <v>0</v>
      </c>
      <c r="J28" s="43"/>
    </row>
    <row r="29" spans="1:10" ht="99.95">
      <c r="A29" s="52">
        <v>17</v>
      </c>
      <c r="B29" s="34" t="s">
        <v>254</v>
      </c>
      <c r="C29" s="55" t="s">
        <v>268</v>
      </c>
      <c r="D29" s="52" t="s">
        <v>30</v>
      </c>
      <c r="E29" s="35">
        <f>IF(D29='[1]Priority Ratings'!$C$21,'[1]Priority Ratings'!$B$21,IF(D29='[1]Priority Ratings'!$C$22,'[1]Priority Ratings'!$B$22,IF(D29='[1]Priority Ratings'!$C$23,'[1]Priority Ratings'!$B$23,IF(D29='[1]Priority Ratings'!$C$24,'[1]Priority Ratings'!$B$24,IF(D29='[1]Priority Ratings'!$C$25,'[1]Priority Ratings'!$B$25,IF(D29='[1]Priority Ratings'!$C$26,'[1]Priority Ratings'!$B$26,IF(D29='[1]Priority Ratings'!$C$27,'[1]Priority Ratings'!$B$27,"No Rating")))))))</f>
        <v>5</v>
      </c>
      <c r="F29" s="36">
        <f>E29/E$41</f>
        <v>3.7593984962406013E-2</v>
      </c>
      <c r="G29" s="37" t="s">
        <v>31</v>
      </c>
      <c r="H29" s="53"/>
      <c r="I29" s="38">
        <f t="shared" si="1"/>
        <v>0</v>
      </c>
      <c r="J29" s="43"/>
    </row>
    <row r="30" spans="1:10" ht="112.5">
      <c r="A30" s="52">
        <v>18</v>
      </c>
      <c r="B30" s="34" t="s">
        <v>254</v>
      </c>
      <c r="C30" s="55" t="s">
        <v>269</v>
      </c>
      <c r="D30" s="52" t="s">
        <v>30</v>
      </c>
      <c r="E30" s="35">
        <f>IF(D30='[1]Priority Ratings'!$C$21,'[1]Priority Ratings'!$B$21,IF(D30='[1]Priority Ratings'!$C$22,'[1]Priority Ratings'!$B$22,IF(D30='[1]Priority Ratings'!$C$23,'[1]Priority Ratings'!$B$23,IF(D30='[1]Priority Ratings'!$C$24,'[1]Priority Ratings'!$B$24,IF(D30='[1]Priority Ratings'!$C$25,'[1]Priority Ratings'!$B$25,IF(D30='[1]Priority Ratings'!$C$26,'[1]Priority Ratings'!$B$26,IF(D30='[1]Priority Ratings'!$C$27,'[1]Priority Ratings'!$B$27,"No Rating")))))))</f>
        <v>5</v>
      </c>
      <c r="F30" s="36">
        <f t="shared" si="0"/>
        <v>3.7593984962406013E-2</v>
      </c>
      <c r="G30" s="37" t="s">
        <v>31</v>
      </c>
      <c r="H30" s="53"/>
      <c r="I30" s="38">
        <f t="shared" si="1"/>
        <v>0</v>
      </c>
      <c r="J30" s="43"/>
    </row>
    <row r="31" spans="1:10" ht="58.35" customHeight="1">
      <c r="A31" s="52">
        <v>19</v>
      </c>
      <c r="B31" s="34" t="s">
        <v>254</v>
      </c>
      <c r="C31" s="55" t="s">
        <v>270</v>
      </c>
      <c r="D31" s="52" t="s">
        <v>30</v>
      </c>
      <c r="E31" s="35">
        <f>IF(D31='[1]Priority Ratings'!$C$21,'[1]Priority Ratings'!$B$21,IF(D31='[1]Priority Ratings'!$C$22,'[1]Priority Ratings'!$B$22,IF(D31='[1]Priority Ratings'!$C$23,'[1]Priority Ratings'!$B$23,IF(D31='[1]Priority Ratings'!$C$24,'[1]Priority Ratings'!$B$24,IF(D31='[1]Priority Ratings'!$C$25,'[1]Priority Ratings'!$B$25,IF(D31='[1]Priority Ratings'!$C$26,'[1]Priority Ratings'!$B$26,IF(D31='[1]Priority Ratings'!$C$27,'[1]Priority Ratings'!$B$27,"No Rating")))))))</f>
        <v>5</v>
      </c>
      <c r="F31" s="36">
        <f t="shared" si="0"/>
        <v>3.7593984962406013E-2</v>
      </c>
      <c r="G31" s="37" t="s">
        <v>31</v>
      </c>
      <c r="H31" s="53"/>
      <c r="I31" s="38">
        <f t="shared" si="1"/>
        <v>0</v>
      </c>
      <c r="J31" s="43"/>
    </row>
    <row r="32" spans="1:10" ht="69" customHeight="1">
      <c r="A32" s="52">
        <v>20</v>
      </c>
      <c r="B32" s="34" t="s">
        <v>254</v>
      </c>
      <c r="C32" s="55" t="s">
        <v>271</v>
      </c>
      <c r="D32" s="52" t="s">
        <v>30</v>
      </c>
      <c r="E32" s="35">
        <f>IF(D32='[1]Priority Ratings'!$C$21,'[1]Priority Ratings'!$B$21,IF(D32='[1]Priority Ratings'!$C$22,'[1]Priority Ratings'!$B$22,IF(D32='[1]Priority Ratings'!$C$23,'[1]Priority Ratings'!$B$23,IF(D32='[1]Priority Ratings'!$C$24,'[1]Priority Ratings'!$B$24,IF(D32='[1]Priority Ratings'!$C$25,'[1]Priority Ratings'!$B$25,IF(D32='[1]Priority Ratings'!$C$26,'[1]Priority Ratings'!$B$26,IF(D32='[1]Priority Ratings'!$C$27,'[1]Priority Ratings'!$B$27,"No Rating")))))))</f>
        <v>5</v>
      </c>
      <c r="F32" s="36">
        <f>E32/E$41</f>
        <v>3.7593984962406013E-2</v>
      </c>
      <c r="G32" s="37" t="s">
        <v>31</v>
      </c>
      <c r="H32" s="53"/>
      <c r="I32" s="38">
        <f t="shared" si="1"/>
        <v>0</v>
      </c>
      <c r="J32" s="43"/>
    </row>
    <row r="33" spans="1:10" ht="98.45" customHeight="1">
      <c r="A33" s="52">
        <v>21</v>
      </c>
      <c r="B33" s="34" t="s">
        <v>254</v>
      </c>
      <c r="C33" s="55" t="s">
        <v>272</v>
      </c>
      <c r="D33" s="52" t="s">
        <v>30</v>
      </c>
      <c r="E33" s="35">
        <f>IF(D33='[1]Priority Ratings'!$C$21,'[1]Priority Ratings'!$B$21,IF(D33='[1]Priority Ratings'!$C$22,'[1]Priority Ratings'!$B$22,IF(D33='[1]Priority Ratings'!$C$23,'[1]Priority Ratings'!$B$23,IF(D33='[1]Priority Ratings'!$C$24,'[1]Priority Ratings'!$B$24,IF(D33='[1]Priority Ratings'!$C$25,'[1]Priority Ratings'!$B$25,IF(D33='[1]Priority Ratings'!$C$26,'[1]Priority Ratings'!$B$26,IF(D33='[1]Priority Ratings'!$C$27,'[1]Priority Ratings'!$B$27,"No Rating")))))))</f>
        <v>5</v>
      </c>
      <c r="F33" s="36">
        <f t="shared" si="0"/>
        <v>3.7593984962406013E-2</v>
      </c>
      <c r="G33" s="37" t="s">
        <v>31</v>
      </c>
      <c r="H33" s="53"/>
      <c r="I33" s="38">
        <f t="shared" si="1"/>
        <v>0</v>
      </c>
      <c r="J33" s="43"/>
    </row>
    <row r="34" spans="1:10" ht="110.45" customHeight="1">
      <c r="A34" s="52">
        <v>22</v>
      </c>
      <c r="B34" s="34" t="s">
        <v>254</v>
      </c>
      <c r="C34" s="55" t="s">
        <v>273</v>
      </c>
      <c r="D34" s="52" t="s">
        <v>30</v>
      </c>
      <c r="E34" s="35">
        <f>IF(D34='[1]Priority Ratings'!$C$21,'[1]Priority Ratings'!$B$21,IF(D34='[1]Priority Ratings'!$C$22,'[1]Priority Ratings'!$B$22,IF(D34='[1]Priority Ratings'!$C$23,'[1]Priority Ratings'!$B$23,IF(D34='[1]Priority Ratings'!$C$24,'[1]Priority Ratings'!$B$24,IF(D34='[1]Priority Ratings'!$C$25,'[1]Priority Ratings'!$B$25,IF(D34='[1]Priority Ratings'!$C$26,'[1]Priority Ratings'!$B$26,IF(D34='[1]Priority Ratings'!$C$27,'[1]Priority Ratings'!$B$27,"No Rating")))))))</f>
        <v>5</v>
      </c>
      <c r="F34" s="36">
        <f t="shared" si="0"/>
        <v>3.7593984962406013E-2</v>
      </c>
      <c r="G34" s="37" t="s">
        <v>31</v>
      </c>
      <c r="H34" s="53"/>
      <c r="I34" s="38">
        <f t="shared" si="1"/>
        <v>0</v>
      </c>
      <c r="J34" s="43"/>
    </row>
    <row r="35" spans="1:10" ht="83.1" customHeight="1">
      <c r="A35" s="52">
        <v>23</v>
      </c>
      <c r="B35" s="34" t="s">
        <v>254</v>
      </c>
      <c r="C35" s="55" t="s">
        <v>274</v>
      </c>
      <c r="D35" s="52" t="s">
        <v>30</v>
      </c>
      <c r="E35" s="35">
        <f>IF(D35='[1]Priority Ratings'!$C$21,'[1]Priority Ratings'!$B$21,IF(D35='[1]Priority Ratings'!$C$22,'[1]Priority Ratings'!$B$22,IF(D35='[1]Priority Ratings'!$C$23,'[1]Priority Ratings'!$B$23,IF(D35='[1]Priority Ratings'!$C$24,'[1]Priority Ratings'!$B$24,IF(D35='[1]Priority Ratings'!$C$25,'[1]Priority Ratings'!$B$25,IF(D35='[1]Priority Ratings'!$C$26,'[1]Priority Ratings'!$B$26,IF(D35='[1]Priority Ratings'!$C$27,'[1]Priority Ratings'!$B$27,"No Rating")))))))</f>
        <v>5</v>
      </c>
      <c r="F35" s="36">
        <f t="shared" si="0"/>
        <v>3.7593984962406013E-2</v>
      </c>
      <c r="G35" s="37" t="s">
        <v>31</v>
      </c>
      <c r="H35" s="53"/>
      <c r="I35" s="38">
        <f t="shared" si="1"/>
        <v>0</v>
      </c>
      <c r="J35" s="43"/>
    </row>
    <row r="36" spans="1:10" ht="50.1">
      <c r="A36" s="52">
        <v>24</v>
      </c>
      <c r="B36" s="34" t="s">
        <v>254</v>
      </c>
      <c r="C36" s="55" t="s">
        <v>275</v>
      </c>
      <c r="D36" s="52" t="s">
        <v>30</v>
      </c>
      <c r="E36" s="35">
        <f>IF(D36='[1]Priority Ratings'!$C$21,'[1]Priority Ratings'!$B$21,IF(D36='[1]Priority Ratings'!$C$22,'[1]Priority Ratings'!$B$22,IF(D36='[1]Priority Ratings'!$C$23,'[1]Priority Ratings'!$B$23,IF(D36='[1]Priority Ratings'!$C$24,'[1]Priority Ratings'!$B$24,IF(D36='[1]Priority Ratings'!$C$25,'[1]Priority Ratings'!$B$25,IF(D36='[1]Priority Ratings'!$C$26,'[1]Priority Ratings'!$B$26,IF(D36='[1]Priority Ratings'!$C$27,'[1]Priority Ratings'!$B$27,"No Rating")))))))</f>
        <v>5</v>
      </c>
      <c r="F36" s="36">
        <f>E36/E$41</f>
        <v>3.7593984962406013E-2</v>
      </c>
      <c r="G36" s="37" t="s">
        <v>31</v>
      </c>
      <c r="H36" s="53"/>
      <c r="I36" s="38">
        <f t="shared" si="1"/>
        <v>0</v>
      </c>
      <c r="J36" s="43"/>
    </row>
    <row r="37" spans="1:10" ht="56.45" customHeight="1">
      <c r="A37" s="52">
        <v>25</v>
      </c>
      <c r="B37" s="34" t="s">
        <v>254</v>
      </c>
      <c r="C37" s="55" t="s">
        <v>276</v>
      </c>
      <c r="D37" s="52" t="s">
        <v>30</v>
      </c>
      <c r="E37" s="35">
        <f>IF(D37='[1]Priority Ratings'!$C$21,'[1]Priority Ratings'!$B$21,IF(D37='[1]Priority Ratings'!$C$22,'[1]Priority Ratings'!$B$22,IF(D37='[1]Priority Ratings'!$C$23,'[1]Priority Ratings'!$B$23,IF(D37='[1]Priority Ratings'!$C$24,'[1]Priority Ratings'!$B$24,IF(D37='[1]Priority Ratings'!$C$25,'[1]Priority Ratings'!$B$25,IF(D37='[1]Priority Ratings'!$C$26,'[1]Priority Ratings'!$B$26,IF(D37='[1]Priority Ratings'!$C$27,'[1]Priority Ratings'!$B$27,"No Rating")))))))</f>
        <v>5</v>
      </c>
      <c r="F37" s="36">
        <f t="shared" si="0"/>
        <v>3.7593984962406013E-2</v>
      </c>
      <c r="G37" s="37" t="s">
        <v>31</v>
      </c>
      <c r="H37" s="53"/>
      <c r="I37" s="38">
        <f t="shared" si="1"/>
        <v>0</v>
      </c>
      <c r="J37" s="43"/>
    </row>
    <row r="38" spans="1:10" ht="82.35" customHeight="1">
      <c r="A38" s="52">
        <v>26</v>
      </c>
      <c r="B38" s="34" t="s">
        <v>254</v>
      </c>
      <c r="C38" s="55" t="s">
        <v>277</v>
      </c>
      <c r="D38" s="52" t="s">
        <v>58</v>
      </c>
      <c r="E38" s="35">
        <f>IF(D38='[1]Priority Ratings'!$C$21,'[1]Priority Ratings'!$B$21,IF(D38='[1]Priority Ratings'!$C$22,'[1]Priority Ratings'!$B$22,IF(D38='[1]Priority Ratings'!$C$23,'[1]Priority Ratings'!$B$23,IF(D38='[1]Priority Ratings'!$C$24,'[1]Priority Ratings'!$B$24,IF(D38='[1]Priority Ratings'!$C$25,'[1]Priority Ratings'!$B$25,IF(D38='[1]Priority Ratings'!$C$26,'[1]Priority Ratings'!$B$26,IF(D38='[1]Priority Ratings'!$C$27,'[1]Priority Ratings'!$B$27,"No Rating")))))))</f>
        <v>3</v>
      </c>
      <c r="F38" s="36">
        <f>E38/E$41</f>
        <v>2.2556390977443608E-2</v>
      </c>
      <c r="G38" s="37" t="s">
        <v>31</v>
      </c>
      <c r="H38" s="53"/>
      <c r="I38" s="38">
        <f t="shared" si="1"/>
        <v>0</v>
      </c>
      <c r="J38" s="43"/>
    </row>
    <row r="39" spans="1:10" ht="50.1">
      <c r="A39" s="52">
        <v>27</v>
      </c>
      <c r="B39" s="55" t="s">
        <v>278</v>
      </c>
      <c r="C39" s="55" t="s">
        <v>279</v>
      </c>
      <c r="D39" s="52" t="s">
        <v>30</v>
      </c>
      <c r="E39" s="35">
        <f>IF(D39='[1]Priority Ratings'!$C$21,'[1]Priority Ratings'!$B$21,IF(D39='[1]Priority Ratings'!$C$22,'[1]Priority Ratings'!$B$22,IF(D39='[1]Priority Ratings'!$C$23,'[1]Priority Ratings'!$B$23,IF(D39='[1]Priority Ratings'!$C$24,'[1]Priority Ratings'!$B$24,IF(D39='[1]Priority Ratings'!$C$25,'[1]Priority Ratings'!$B$25,IF(D39='[1]Priority Ratings'!$C$26,'[1]Priority Ratings'!$B$26,IF(D39='[1]Priority Ratings'!$C$27,'[1]Priority Ratings'!$B$27,"No Rating")))))))</f>
        <v>5</v>
      </c>
      <c r="F39" s="36">
        <f t="shared" si="0"/>
        <v>3.7593984962406013E-2</v>
      </c>
      <c r="G39" s="37" t="s">
        <v>31</v>
      </c>
      <c r="H39" s="53"/>
      <c r="I39" s="38">
        <f t="shared" si="1"/>
        <v>0</v>
      </c>
      <c r="J39" s="43"/>
    </row>
    <row r="40" spans="1:10">
      <c r="A40" s="40"/>
      <c r="B40" s="41"/>
      <c r="C40" s="40"/>
      <c r="D40" s="40"/>
      <c r="E40" s="40"/>
      <c r="F40" s="40"/>
      <c r="G40" s="40"/>
      <c r="H40" s="40"/>
      <c r="I40" s="42"/>
      <c r="J40" s="43"/>
    </row>
    <row r="41" spans="1:10" ht="15">
      <c r="A41" s="4"/>
      <c r="C41" s="23"/>
      <c r="D41" s="44"/>
      <c r="E41" s="45">
        <f>SUM(E13:E39)</f>
        <v>133</v>
      </c>
      <c r="F41" s="46">
        <f>SUM(F13:F39)</f>
        <v>1.0000000000000004</v>
      </c>
      <c r="G41" s="47"/>
      <c r="H41" s="48"/>
      <c r="I41" s="49">
        <f>SUM(I13:I39)</f>
        <v>0</v>
      </c>
    </row>
  </sheetData>
  <mergeCells count="5">
    <mergeCell ref="D2:D3"/>
    <mergeCell ref="E2:F3"/>
    <mergeCell ref="B9:G9"/>
    <mergeCell ref="G11:I11"/>
    <mergeCell ref="J11:J12"/>
  </mergeCells>
  <dataValidations count="2">
    <dataValidation type="list" allowBlank="1" showInputMessage="1" showErrorMessage="1" sqref="H13:H39" xr:uid="{D59A882B-51D3-4942-881E-C56022A6241D}">
      <formula1>"0%,50%,100%"</formula1>
    </dataValidation>
    <dataValidation type="list" allowBlank="1" showInputMessage="1" showErrorMessage="1" sqref="D13:D39" xr:uid="{C694A72B-FB3D-499A-BE85-54F89E085336}">
      <formula1>Priority</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1BFAC143E1B18478EC9FE20EB726B51" ma:contentTypeVersion="10" ma:contentTypeDescription="Create a new document." ma:contentTypeScope="" ma:versionID="c741609fc780d25d22da6438d5fe2fd8">
  <xsd:schema xmlns:xsd="http://www.w3.org/2001/XMLSchema" xmlns:xs="http://www.w3.org/2001/XMLSchema" xmlns:p="http://schemas.microsoft.com/office/2006/metadata/properties" xmlns:ns3="c5f800dd-ffca-48ee-a750-7f656e7ce184" xmlns:ns4="6f03a8a3-a824-4606-b2aa-ced2234317a6" targetNamespace="http://schemas.microsoft.com/office/2006/metadata/properties" ma:root="true" ma:fieldsID="ba990ce4b361f19ebeabbdd86bd320d6" ns3:_="" ns4:_="">
    <xsd:import namespace="c5f800dd-ffca-48ee-a750-7f656e7ce184"/>
    <xsd:import namespace="6f03a8a3-a824-4606-b2aa-ced2234317a6"/>
    <xsd:element name="properties">
      <xsd:complexType>
        <xsd:sequence>
          <xsd:element name="documentManagement">
            <xsd:complexType>
              <xsd:all>
                <xsd:element ref="ns3:MediaServiceDateTaken" minOccurs="0"/>
                <xsd:element ref="ns4:MigrationSourceID"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f800dd-ffca-48ee-a750-7f656e7ce184"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f03a8a3-a824-4606-b2aa-ced2234317a6" elementFormDefault="qualified">
    <xsd:import namespace="http://schemas.microsoft.com/office/2006/documentManagement/types"/>
    <xsd:import namespace="http://schemas.microsoft.com/office/infopath/2007/PartnerControls"/>
    <xsd:element name="MigrationSourceID" ma:index="9" nillable="true" ma:displayName="MigrationSourceID" ma:internalName="MigrationSourceID"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c5f800dd-ffca-48ee-a750-7f656e7ce184" xsi:nil="true"/>
  </documentManagement>
</p:properties>
</file>

<file path=customXml/itemProps1.xml><?xml version="1.0" encoding="utf-8"?>
<ds:datastoreItem xmlns:ds="http://schemas.openxmlformats.org/officeDocument/2006/customXml" ds:itemID="{EA129804-B5FE-41E4-8B24-D1EBE89F4B02}"/>
</file>

<file path=customXml/itemProps2.xml><?xml version="1.0" encoding="utf-8"?>
<ds:datastoreItem xmlns:ds="http://schemas.openxmlformats.org/officeDocument/2006/customXml" ds:itemID="{A06CA319-F55F-4237-8AB0-DCA73E5D9A0F}"/>
</file>

<file path=customXml/itemProps3.xml><?xml version="1.0" encoding="utf-8"?>
<ds:datastoreItem xmlns:ds="http://schemas.openxmlformats.org/officeDocument/2006/customXml" ds:itemID="{7150FE8B-9F6B-40C2-96FB-94A7FEF1CCF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Sudipta Saraswati</dc:creator>
  <cp:keywords/>
  <dc:description/>
  <cp:lastModifiedBy/>
  <cp:revision/>
  <dcterms:created xsi:type="dcterms:W3CDTF">2026-01-24T13:43:32Z</dcterms:created>
  <dcterms:modified xsi:type="dcterms:W3CDTF">2026-03-24T05:55:41Z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0x010100C1BFAC143E1B18478EC9FE20EB726B51</vt:lpwstr>
  </property>
</Properties>
</file>